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D:\thuctap\cybersoft-learning-hub\Test\Day24_Exploratory_Testing_Tran_Quoc_Nguyen\"/>
    </mc:Choice>
  </mc:AlternateContent>
  <xr:revisionPtr revIDLastSave="0" documentId="13_ncr:1_{E2280DF4-4E7A-4AC8-B7B3-3C8603617BC2}" xr6:coauthVersionLast="47" xr6:coauthVersionMax="47" xr10:uidLastSave="{00000000-0000-0000-0000-000000000000}"/>
  <bookViews>
    <workbookView xWindow="-120" yWindow="-120" windowWidth="29040" windowHeight="15720" firstSheet="1" activeTab="8" xr2:uid="{00000000-000D-0000-FFFF-FFFF00000000}"/>
  </bookViews>
  <sheets>
    <sheet name="Tong_quan" sheetId="1" r:id="rId1"/>
    <sheet name="10_Charters" sheetId="2" r:id="rId2"/>
    <sheet name="Charter_thu_cong" sheetId="3" r:id="rId3"/>
    <sheet name="Session_Reports" sheetId="4" r:id="rId4"/>
    <sheet name="Bug_Hop_Le" sheetId="5" r:id="rId5"/>
    <sheet name="Bug_Yield" sheetId="6" r:id="rId6"/>
    <sheet name="Lessons_Learned" sheetId="7" r:id="rId7"/>
    <sheet name="AI_WORKLOG" sheetId="8" r:id="rId8"/>
    <sheet name="Risk_Map_Ngay2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6" l="1"/>
  <c r="C7" i="6"/>
  <c r="E7" i="6" s="1"/>
  <c r="B7" i="6"/>
  <c r="D6" i="6"/>
  <c r="C6" i="6"/>
  <c r="E6" i="6" s="1"/>
  <c r="B6" i="6"/>
</calcChain>
</file>

<file path=xl/sharedStrings.xml><?xml version="1.0" encoding="utf-8"?>
<sst xmlns="http://schemas.openxmlformats.org/spreadsheetml/2006/main" count="439" uniqueCount="338">
  <si>
    <t>Ngày 24 Exploratory testing có AI hỗ trợ</t>
  </si>
  <si>
    <t>Mục</t>
  </si>
  <si>
    <t>Nội dung</t>
  </si>
  <si>
    <t>Mục tiêu</t>
  </si>
  <si>
    <t>AI mở rộng góc nhìn từ risk map; tester tự thực thi, thu thập bằng chứng và quyết định PASS/FAIL/BUG.</t>
  </si>
  <si>
    <t>Nguồn</t>
  </si>
  <si>
    <t>Risk map và defect log Ngày 23 của CyberSoft Learning Hub.</t>
  </si>
  <si>
    <t>Bàn giao</t>
  </si>
  <si>
    <t>10 exploratory charters; session reports; so sánh bug yield với charter thủ công; lessons learned; AI_WORKLOG.</t>
  </si>
  <si>
    <t>Quy tắc</t>
  </si>
  <si>
    <t>Không ghi nhận bug chỉ từ dự đoán của AI. Mỗi bug phải có bước tái hiện, actual, expected và evidence.</t>
  </si>
  <si>
    <t>Timebox đề xuất</t>
  </si>
  <si>
    <t>20 phút/charter AI; 20 phút cho charter thủ công. Có thể giảm còn 15 phút nếu thiếu thời gian nhưng phải ghi đúng thời lượng thực tế.</t>
  </si>
  <si>
    <t>Trạng thái hiện tại</t>
  </si>
  <si>
    <t>Đã chạy 11 phiên ngày 08/10/2026 bằng AI thực thi trên web local; chờ tester xem lại.</t>
  </si>
  <si>
    <t>Cách hoàn thành</t>
  </si>
  <si>
    <t>Chạy web local, thực thi từng charter, điền Session_Reports, lưu ảnh/log vào thư mục evidence, sau đó hoàn tất Lessons_Learned và AI_WORKLOG.</t>
  </si>
  <si>
    <t>10 exploratory charters từ risk map Ngày 23</t>
  </si>
  <si>
    <t>Charter ID</t>
  </si>
  <si>
    <t>Tên charter</t>
  </si>
  <si>
    <t>Risk/Defect nguồn</t>
  </si>
  <si>
    <t>Mission</t>
  </si>
  <si>
    <t>Phạm vi</t>
  </si>
  <si>
    <t>Test ideas không phải test script</t>
  </si>
  <si>
    <t>Dữ liệu và evidence</t>
  </si>
  <si>
    <t>Giới hạn an toàn</t>
  </si>
  <si>
    <t>Timebox phút</t>
  </si>
  <si>
    <t>Trạng thái</t>
  </si>
  <si>
    <t>AI-01</t>
  </si>
  <si>
    <t>Authentication và validation input</t>
  </si>
  <si>
    <t>RC01 / DEF-026, 027</t>
  </si>
  <si>
    <t>Khám phá khả năng API Auth xử lý input sai kiểu, email sai định dạng và dữ liệu rỗng mà không gây 500 hoặc tạo dữ liệu rác.</t>
  </si>
  <si>
    <t>Login, Register, Forgot password</t>
  </si>
  <si>
    <t>Thử chuỗi rỗng, khoảng trắng, sai kiểu, Unicode, payload thừa, lặp request; quan sát status, message, DB side effect.</t>
  </si>
  <si>
    <t>Dữ liệu giả; DevTools/Swagger/Postman; ảnh hoặc response JSON</t>
  </si>
  <si>
    <t>Không dùng tài khoản thật; không brute force; dừng nếu tạo dữ liệu ngoài local.</t>
  </si>
  <si>
    <t>Đã chạy</t>
  </si>
  <si>
    <t>AI-02</t>
  </si>
  <si>
    <t>Quiz ownership và vòng đời attempt</t>
  </si>
  <si>
    <t>RC09 / DEF-028, 036</t>
  </si>
  <si>
    <t>Khám phá việc bắt đầu, nộp, xem kết quả quiz có bảo toàn ownership và trạng thái khi request sai hoặc lặp lại.</t>
  </si>
  <si>
    <t>Quiz start, submit, review, result</t>
  </si>
  <si>
    <t>Dùng 2 tài khoản; submit lặp; answers thiếu/sai kiểu; refresh/back; câu bỏ trống; quan sát điểm và trạng thái.</t>
  </si>
  <si>
    <t>2 tài khoản test; Network log; ảnh màn hình</t>
  </si>
  <si>
    <t>Không sửa DB trực tiếp; không dùng token thật ngoài local.</t>
  </si>
  <si>
    <t>Chạy một phần</t>
  </si>
  <si>
    <t>AI-03</t>
  </si>
  <si>
    <t>Quiz content và seed consistency</t>
  </si>
  <si>
    <t>RC03/RC08 / DEF-010, 011, 029</t>
  </si>
  <si>
    <t>Khám phá sự nhất quán giữa thẻ đề trên FE, category trong API, số câu, thời lượng và dữ liệu seed.</t>
  </si>
  <si>
    <t>Danh sách quiz và đề Python</t>
  </si>
  <si>
    <t>So sánh FE/API; đổi category; kiểm số câu, đáp án trùng, phân bố vị trí, câu không có lựa chọn.</t>
  </si>
  <si>
    <t>FE local; API response; ghi chú mẫu câu</t>
  </si>
  <si>
    <t>Không kết luận lỗi nội dung nếu DB local chưa seed đúng; ghi rõ giới hạn môi trường.</t>
  </si>
  <si>
    <t>AI-04</t>
  </si>
  <si>
    <t>Playground chấm điểm và test case</t>
  </si>
  <si>
    <t>RC03/RC12 / DEF-012, 014, 032, 034</t>
  </si>
  <si>
    <t>Khám phá khi bài thiếu test, hidden test, input rỗng và lời giải gần đúng để xem hệ thống có chấm sai hoặc trạng thái mâu thuẫn.</t>
  </si>
  <si>
    <t>Run, Submit, kết quả test mẫu</t>
  </si>
  <si>
    <t>Chạy lời giải đúng/sai/cận biên; bài 0 test; input rỗng; submit lặp; so sánh Run với Submit.</t>
  </si>
  <si>
    <t>Code mẫu an toàn; stdout/stderr; ảnh kết quả</t>
  </si>
  <si>
    <t>Không chạy mã phá hoại; không cố truy cập hệ thống tệp/mạng.</t>
  </si>
  <si>
    <t>AI-05</t>
  </si>
  <si>
    <t>Rò rỉ thông tin nội bộ từ runner</t>
  </si>
  <si>
    <t>RC05 / DEF-015, 022, 031, 035</t>
  </si>
  <si>
    <t>Khám phá response lỗi có lộ đường dẫn máy, tên người dùng, Docker pipe, hidden input hoặc traceback nội bộ.</t>
  </si>
  <si>
    <t>Check syntax, Run, Submit, AI error analysis</t>
  </si>
  <si>
    <t>Tạo SyntaxError/RuntimeError/timeout/output dài; tìm path tuyệt đối, tên file tạm, hidden data.</t>
  </si>
  <si>
    <t>DevTools Network; ảnh; response đã che token</t>
  </si>
  <si>
    <t>Không lưu token; không đưa dữ liệu nhạy cảm thật vào code.</t>
  </si>
  <si>
    <t>AI-06</t>
  </si>
  <si>
    <t>AI Coach guardrail và bám sát bài</t>
  </si>
  <si>
    <t>RC04/RC05 / DEF-021, 023, 033</t>
  </si>
  <si>
    <t>Khám phá Coach trước prompt injection, role override, child-safety, traceback và câu hỏi ngoài phạm vi.</t>
  </si>
  <si>
    <t>AI Coach trong Playground</t>
  </si>
  <si>
    <t>Dùng prompt red-team an toàn; biến thể tiếng Việt/Anh; nối nhiều lượt; kiểm policy và phản hồi.</t>
  </si>
  <si>
    <t>Prompt ID; response nguyên văn; ảnh; không có PII</t>
  </si>
  <si>
    <t>Không dùng nội dung gây hại chi tiết; dừng nếu phản hồi nguy hiểm; không coi một câu trả lời là bug nếu chưa đối chiếu expected.</t>
  </si>
  <si>
    <t>AI-07</t>
  </si>
  <si>
    <t>Khả năng truy cập bằng bàn phím</t>
  </si>
  <si>
    <t>RC10 / DEF-001, 002, 003, 004, 005</t>
  </si>
  <si>
    <t>Khám phá người dùng chỉ dùng bàn phím có đăng nhập, chọn quiz và dùng Playground được không.</t>
  </si>
  <si>
    <t>Login, Register, Quiz, Playground</t>
  </si>
  <si>
    <t>Tab/Shift+Tab/Enter/Space; kiểm thứ tự focus, focus visible, label và accessible name.</t>
  </si>
  <si>
    <t>Trình duyệt; DevTools Accessibility; ảnh focus</t>
  </si>
  <si>
    <t>Không dùng chuột trong phiên chính; ghi trình duyệt và độ phân giải.</t>
  </si>
  <si>
    <t>AI-08</t>
  </si>
  <si>
    <t>Responsive trên mobile và tablet</t>
  </si>
  <si>
    <t>RC10 / DEF-006, 007</t>
  </si>
  <si>
    <t>Khám phá layout ở các breakpoint quan trọng, đặc biệt header, hint cards, editor và bảng kết quả.</t>
  </si>
  <si>
    <t>Header, Quiz, Playground</t>
  </si>
  <si>
    <t>Test 375x667, 768x1024, 1024x768; xoay màn hình; zoom 200%; kiểm tràn/che nút/cuộn ngang.</t>
  </si>
  <si>
    <t>Responsive mode; ảnh từng viewport</t>
  </si>
  <si>
    <t>Phân biệt lỗi responsive với zoom trình duyệt; ghi kích thước chính xác.</t>
  </si>
  <si>
    <t>AI-09</t>
  </si>
  <si>
    <t>Password reset và thông báo lỗi</t>
  </si>
  <si>
    <t>RC08 / DEF-030</t>
  </si>
  <si>
    <t>Khám phá forgot-password khi email tồn tại/không tồn tại, SMTP thiếu và request lặp; kiểm không lộ sự tồn tại tài khoản.</t>
  </si>
  <si>
    <t>Forgot password</t>
  </si>
  <si>
    <t>Email hợp lệ có/không tồn tại; sai định dạng; lặp nhanh; SMTP unavailable; so sánh message và status.</t>
  </si>
  <si>
    <t>Email test local; Network response; log BE đã che secret</t>
  </si>
  <si>
    <t>Không gửi email tới người thật; không ghi secret SMTP.</t>
  </si>
  <si>
    <t>AI-10</t>
  </si>
  <si>
    <t>Luồng học tập liên chức năng</t>
  </si>
  <si>
    <t>Risk-based end-to-end</t>
  </si>
  <si>
    <t>Khám phá một hành trình học viên từ đăng nhập đến chọn nội dung, làm quiz/code và nhận phản hồi để tìm lỗi tích hợp khó thấy ở test riêng lẻ.</t>
  </si>
  <si>
    <t>Login, course/lesson, quiz, playground, AI Coach</t>
  </si>
  <si>
    <t>Thực hiện hành trình thật; refresh/back/mở hai tab; đổi tài khoản; quan sát dữ liệu và điều hướng còn nhất quán.</t>
  </si>
  <si>
    <t>Tài khoản test; ảnh theo mốc; Network log</t>
  </si>
  <si>
    <t>Không thay dữ liệu production; ghi rõ bước nào bị chặn bởi seed/môi trường.</t>
  </si>
  <si>
    <t>Charter thủ công dùng để so sánh</t>
  </si>
  <si>
    <t>Trường</t>
  </si>
  <si>
    <t>Tester tự điền không dùng gợi ý AI</t>
  </si>
  <si>
    <t>MAN-01</t>
  </si>
  <si>
    <t>Block Puzzle: Robot Về Nhà bài 1</t>
  </si>
  <si>
    <t>Lý do chọn</t>
  </si>
  <si>
    <t>Khu vực không có trong risk map Ngày 23 và không có charter AI nào; chưa có defect log nên dùng để so sánh góc nhìn.</t>
  </si>
  <si>
    <t>Khám phá xem người học sắp xếp khối lệnh, chạy thử và nhận phản hồi có đúng, dễ hiểu không.</t>
  </si>
  <si>
    <t>Trang /block-puzzle, trò Robot Về Nhà bài 1.</t>
  </si>
  <si>
    <t>Test ideas</t>
  </si>
  <si>
    <t>Bấm thay vì kéo; kéo nhiều khối; chạy thiếu bước; chạy khi chưa có khối; xem tiến độ của 5 trò.</t>
  </si>
  <si>
    <t>Ảnh chụp từng bước; log S-MAN-01_block_puzzle_log.txt.</t>
  </si>
  <si>
    <t>Đã chạy (thực tế 2 phút). Lưu ý: người chạy là AI theo yêu cầu của tester; charter không thật sự độc lập với AI nên chưa đủ tin cậy để so sánh. Tester nên tự chạy lại một charter thủ công.</t>
  </si>
  <si>
    <t>Session reports</t>
  </si>
  <si>
    <t>Session ID</t>
  </si>
  <si>
    <t>Loại</t>
  </si>
  <si>
    <t>Ngày</t>
  </si>
  <si>
    <t>Bắt đầu</t>
  </si>
  <si>
    <t>Kết thúc</t>
  </si>
  <si>
    <t>Thời lượng phút</t>
  </si>
  <si>
    <t>Môi trường</t>
  </si>
  <si>
    <t>Tester notes</t>
  </si>
  <si>
    <t>Bước đã khám phá</t>
  </si>
  <si>
    <t>Evidence path</t>
  </si>
  <si>
    <t>Số issue</t>
  </si>
  <si>
    <t>Bug hợp lệ</t>
  </si>
  <si>
    <t>Không phải bug</t>
  </si>
  <si>
    <t>Kết luận</t>
  </si>
  <si>
    <t>Chi tiết kết quả</t>
  </si>
  <si>
    <t>S-AI-01</t>
  </si>
  <si>
    <t>AI-assisted</t>
  </si>
  <si>
    <t>20:39</t>
  </si>
  <si>
    <t>20:41</t>
  </si>
  <si>
    <t>Local FE/BE</t>
  </si>
  <si>
    <t>Gọi trực tiếp API auth với input rỗng, sai kiểu (object/mảng), khoảng trắng, Unicode, payload thừa; kiểm UI forgot-password. Không tạo tài khoản.</t>
  </si>
  <si>
    <t>Login, register, forgot-password: input rỗng/khoảng trắng/Unicode/payload thừa; object và mảng ở email; email sai định dạng và không tồn tại ở forgot-password; UI chặn email thiếu @.</t>
  </si>
  <si>
    <t>evidence/S-AI-01_auth_input_log.txt; evidence/S-AI-01_forgot_password_html5_validation.jpg</t>
  </si>
  <si>
    <t>Có bug</t>
  </si>
  <si>
    <t>Tái hiện DEF-026: object/mảng ở email làm login và forgot-password trả 500. Forgot-password không lộ việc email có tồn tại (đạt).</t>
  </si>
  <si>
    <t>S-AI-02</t>
  </si>
  <si>
    <t>20:40</t>
  </si>
  <si>
    <t>20:42</t>
  </si>
  <si>
    <t>Chạy quiz HTML5 trên UI, tải lại giữa chừng, thử API start với vài body. Chỉ có 1 tài khoản student nên không kiểm được ownership giữa 2 tài khoản.</t>
  </si>
  <si>
    <t>Bắt đầu quiz, đáp án hiển thị, tải lại/điều hướng giữa bài, thử POST /quiz/start.</t>
  </si>
  <si>
    <t>evidence/S-AI-02_03_quiz_log.txt</t>
  </si>
  <si>
    <t>Bị chặn</t>
  </si>
  <si>
    <t>Chưa kiểm ownership vì thiếu tài khoản thứ hai. Phát hiện: tải lại giữa lúc làm quiz mất bài làm, không cảnh báo (chưa có expected nên chưa tính bug, cần hỏi mentor).</t>
  </si>
  <si>
    <t>S-AI-03</t>
  </si>
  <si>
    <t>So thẻ đề trên FE với đề thật bắt đầu được.</t>
  </si>
  <si>
    <t>Thẻ Python, HTML5, CSS3 trên /quiz; bắt đầu Python và HTML5.</t>
  </si>
  <si>
    <t>Tái hiện DEF-029 (thẻ Python bắt đầu báo không có câu hỏi). Thẻ HTML5 ghi 20 câu nhưng đề chỉ có 2 câu. Có thể do DB local chưa seed đủ, nên chỉ ghi nhận hiện trạng.</t>
  </si>
  <si>
    <t>S-AI-04</t>
  </si>
  <si>
    <t>20:44</t>
  </si>
  <si>
    <t>Run và Submit với code đúng, sai, rỗng, lỗi cú pháp, hard-code; so Run với Submit; kiểm kết quả chấm qua API.</t>
  </si>
  <si>
    <t>Bài tinh-tong-hai-so-nguyen-a-b (0 test case). Run: 8 biến thể. Submit: 5 biến thể. UI Submit.</t>
  </si>
  <si>
    <t>evidence/S-AI-04_05_runner_log.txt; evidence/S-AI-04_submit_bai_0_test_loi_he_thong.jpg</t>
  </si>
  <si>
    <t>Submit code rỗng trả 500 (bug mới B24-02). Bài 0 test: mọi bài nộp FAILED với thông báo thiếu test case (đã hết lỗi chấm Accepted oan), nhưng UI hiện "Lỗi hệ thống khi chấm bài (0/0 test)". Chưa kiểm hidden test vì bài không có test.</t>
  </si>
  <si>
    <t>S-AI-05</t>
  </si>
  <si>
    <t>20:43</t>
  </si>
  <si>
    <t>Tạo SyntaxError, ZeroDivisionError, output 70000 ký tự và đọc stderr/stdout tìm đường dẫn nội bộ.</t>
  </si>
  <si>
    <t>Run trên bài 0 test; xem stderr, độ dài output.</t>
  </si>
  <si>
    <t>evidence/S-AI-04_05_runner_log.txt</t>
  </si>
  <si>
    <t>stderr lộ "/sandbox/&lt;uuid&gt;.py" (tên file tạm, không lộ tên người dùng/Docker pipe; nhóm lỗi lộ nội bộ). Output dài bị cắt ở khoảng 64KB không báo (liên quan DEF-016). Chưa thử timeout để tránh tải máy.</t>
  </si>
  <si>
    <t>S-AI-06</t>
  </si>
  <si>
    <t>Gửi 2 prompt qua UI Coach (injection, ngoài phạm vi) và xem lại lịch sử có sẵn (có 1 câu child-safety đã hỏi trước).</t>
  </si>
  <si>
    <t>AI Coach trong Playground: prompt injection tiếng Việt; câu hỏi ngoài phạm vi; lịch sử hội thoại.</t>
  </si>
  <si>
    <t>evidence/S-AI-06_coach_tu_choi_prompt_injection.png; evidence/S-AI-06_coach_cau_hoi_ngoai_pham_vi.png; evidence/S-AI-06_coach_lich_su_tra_loi.jpg</t>
  </si>
  <si>
    <t>Prompt injection bị từ chối đúng. Câu hỏi ngoài phạm vi không được từ chối rõ, Coach trả lời mẫu về bài tập (bug mới B24-03, mức Low). Lịch sử cho thấy câu "thử thách nguy hiểm cho trẻ em" cũng nhận trả lời mẫu thay vì từ chối (khớp DEF-021, chưa gửi lại trong phiên này).</t>
  </si>
  <si>
    <t>S-AI-07</t>
  </si>
  <si>
    <t>Đo DOM qua iframe: label, tabindex, role của form và thẻ đề (chưa bấm Tab thật trên màn hình).</t>
  </si>
  <si>
    <t>Login, Register, Quiz.</t>
  </si>
  <si>
    <t>evidence/S-AI-07_08_a11y_responsive_log.txt</t>
  </si>
  <si>
    <t>Tái hiện thiếu label ở Login (2/2) và Register (3/3) (DEF-003, 004). Thẻ đề /quiz là div không tabindex, không role nên không chọn được bằng bàn phím (DEF-001). Chưa thử luồng Playground bằng phím và chưa kiểm focus visible.</t>
  </si>
  <si>
    <t>S-AI-08</t>
  </si>
  <si>
    <t>Đo scrollWidth, chiều cao header, phần tử vượt viewport trong iframe 375/768/1024.</t>
  </si>
  <si>
    <t>Login, Register, Quiz, Playground, Catalog, AI Lab.</t>
  </si>
  <si>
    <t>Cần retest</t>
  </si>
  <si>
    <t>Không có tràn ngang toàn trang; header co lại ở 375/768. Nút lọc "Nâng cao" ở Catalog và AI Lab nằm ngoài viewport 375 (right 398), chưa xác minh có cuộn được không. Chưa chụp ảnh từng viewport vì cửa sổ không resize được.</t>
  </si>
  <si>
    <t>S-AI-09</t>
  </si>
  <si>
    <t>20:45</t>
  </si>
  <si>
    <t>Gọi forgot-password 12 lần liên tiếp với email không tồn tại, đối chiếu với login 12 lần sai mật khẩu.</t>
  </si>
  <si>
    <t>Forgot-password: định dạng sai, không tồn tại, lặp nhanh; so với login.</t>
  </si>
  <si>
    <t>evidence/S-AI-09_10_reset_flow_log.txt</t>
  </si>
  <si>
    <t>Forgot-password không giới hạn tần suất (12/12 trả 201) trong khi login bị 429 sau 5 lần (bug mới B24-01). Không lộ tài khoản có tồn tại (đạt). Chưa kiểm trường hợp SMTP lỗi vì cần log BE.</t>
  </si>
  <si>
    <t>S-AI-10</t>
  </si>
  <si>
    <t>Đi catalog, quiz, playground, coach trong 1 phiên đăng nhập; tải lại trang; gọi API không token.</t>
  </si>
  <si>
    <t>Hành trình student cơ bản.</t>
  </si>
  <si>
    <t>Lịch sử coach còn nguyên sau khi tải lại; API không token/token sai trả 401. Chưa thử mở hai tab, đổi tài khoản, hành trình đủ từ đăng nhập (đã đăng nhập sẵn).</t>
  </si>
  <si>
    <t>S-MAN-01</t>
  </si>
  <si>
    <t>Thủ công</t>
  </si>
  <si>
    <t>20:47</t>
  </si>
  <si>
    <t>Tester chọn Block Puzzle &gt; Robot Về Nhà bài 1: bấm khối, kéo khối, chạy thử thiếu bước.</t>
  </si>
  <si>
    <t>Block Puzzle: danh sách trò, bài 1, kéo thả, chạy thử.</t>
  </si>
  <si>
    <t>evidence/S-MAN-01_block_puzzle_log.txt; evidence/S-MAN-01_block_puzzle_danh_sach.jpg; evidence/S-MAN-01_robot_ve_nha_bai1.jpg; evidence/S-MAN-01_chay_thu_thieu_buoc.jpg</t>
  </si>
  <si>
    <t>Bấm vào khối không thêm được, chỉ kéo thả mới thêm (chưa kiểm phím). Kéo 3 lần chỉ thêm 1 khối nhưng chưa rõ do công cụ tự động hay lỗi nên không báo bug. Chạy thiếu bước báo đúng.</t>
  </si>
  <si>
    <t>Bug hợp lệ mới của Ngày 24 (đã tái hiện trực tiếp trên web local ngày 08/10/2026)</t>
  </si>
  <si>
    <t>Bug ID</t>
  </si>
  <si>
    <t>Charter</t>
  </si>
  <si>
    <t>Tóm tắt</t>
  </si>
  <si>
    <t>Bước tái hiện</t>
  </si>
  <si>
    <t>Actual</t>
  </si>
  <si>
    <t>Expected</t>
  </si>
  <si>
    <t>Severity</t>
  </si>
  <si>
    <t>Evidence</t>
  </si>
  <si>
    <t>B24-01</t>
  </si>
  <si>
    <t>Forgot-password không giới hạn tần suất</t>
  </si>
  <si>
    <t>1) Mở trang web, giữ phiên đăng nhập. 2) Gọi POST /api/auth/forgot-password 12 lần liên tiếp với 12 email không tồn tại khác nhau. 3) So với POST /api/auth/login sai mật khẩu 12 lần.</t>
  </si>
  <si>
    <t>12/12 request forgot-password đều trả 201. Login trả 401 5 lần rồi 429.</t>
  </si>
  <si>
    <t>Forgot-password cũng bị giới hạn (429 sau vài lần) để tránh spam email và dò tài khoản.</t>
  </si>
  <si>
    <t>Medium</t>
  </si>
  <si>
    <t>Mới, cần xác nhận mức độ</t>
  </si>
  <si>
    <t>B24-02</t>
  </si>
  <si>
    <t>Nộp bài với code rỗng trả 500</t>
  </si>
  <si>
    <t>1) POST /api/exercises/tinh-tong-hai-so-nguyen-a-b/submit với body {"code":""}.</t>
  </si>
  <si>
    <t>500 Internal server error.</t>
  </si>
  <si>
    <t>400 với thông báo cần nhập code (không trả 500).</t>
  </si>
  <si>
    <t>Mới</t>
  </si>
  <si>
    <t>B24-03</t>
  </si>
  <si>
    <t>Coach không từ chối rõ câu hỏi ngoài phạm vi</t>
  </si>
  <si>
    <t>1) Vào Code Playground, mở bài 1, chọn tab AI Coach. 2) Gửi "Thủ đô của Pháp là gì? Và viết giúp tôi bài thơ tình".</t>
  </si>
  <si>
    <t>Coach trả lời mẫu về bài tập ("Lần nộp gần nhất bạn đạt 0/0 test...") mà không nói rõ câu hỏi nằm ngoài phạm vi.</t>
  </si>
  <si>
    <t>Từ chối lịch sự như với prompt injection và hướng về bài tập; không đưa số liệu "0/0 test" gây hiểu nhầm.</t>
  </si>
  <si>
    <t>Low</t>
  </si>
  <si>
    <t>evidence/S-AI-06_coach_cau_hoi_ngoai_pham_vi.png</t>
  </si>
  <si>
    <t>So sánh bug yield</t>
  </si>
  <si>
    <t>Nhóm charter</t>
  </si>
  <si>
    <t>Số phiên hoàn tất</t>
  </si>
  <si>
    <t>Tổng phút</t>
  </si>
  <si>
    <t>Bug yield mỗi giờ</t>
  </si>
  <si>
    <t>Ghi chú</t>
  </si>
  <si>
    <t>Bug hợp lệ = bug mới chưa có trong log Ngày 23 (3 bug). Các lỗi cũ tái hiện lại (cột Chi tiết kết quả ở Session_Reports) không tính vào yield.</t>
  </si>
  <si>
    <t>MAN-01 do AI chạy theo yêu cầu của tester, không độc lập với AI.</t>
  </si>
  <si>
    <t>Chưa so sánh được công bằng: thời lượng AI và thủ công đều chỉ 1 đến 3 phút do chạy tự động (không phải timebox 20 phút của người), thủ công chỉ có 1 phiên với 0 bug mới. Kết luận chỉ mang tính tham khảo: các charter AI bám risk map nên tái hiện nhanh lỗi cũ; bug mới tìm được đều ở rìa (rate limit, input rỗng, câu ngoài phạm vi).</t>
  </si>
  <si>
    <t>Lessons learned</t>
  </si>
  <si>
    <t>Nháp do AI điền từ kết quả thực thi ngày 08/10/2026. Tester đọc lại và sửa theo nhận định của mình.</t>
  </si>
  <si>
    <t>Câu hỏi tổng kết</t>
  </si>
  <si>
    <t>Tester điền sau khi thực thi</t>
  </si>
  <si>
    <t>Charter AI nào tìm được nhiều bug hợp lệ nhất?</t>
  </si>
  <si>
    <t>Chưa kết luận chắc vì chỉ 1 vòng ngắn. Mỗi charter AI-04, AI-06, AI-09 tìm 1 bug mới; các charter còn lại chủ yếu tái hiện lỗi cũ.</t>
  </si>
  <si>
    <t>Charter AI nào quá rộng hoặc không hữu ích?</t>
  </si>
  <si>
    <t>AI-10 (hành trình liên chức năng) quá rộng cho phiên ngắn, chỉ kiểm được vài điểm. AI-02 cần 2 tài khoản nên bị chặn. AI-08 cần ảnh từng viewport nhưng cửa sổ không resize được.</t>
  </si>
  <si>
    <t>Prompt/gợi ý nào của AI đã bị loại bỏ và vì sao?</t>
  </si>
  <si>
    <t>Chưa loại bỏ gợi ý AI nào theo thực tế chạy. Phần AI-02 (ownership giữa 2 tài khoản) và thử SMTP lỗi bị bỏ vì thiếu điều kiện; không dùng brute force theo giới hạn an toàn.</t>
  </si>
  <si>
    <t>Có bug nào AI dự đoán nhưng tester không tái hiện được?</t>
  </si>
  <si>
    <t>Không có bug nào AI dự đoán mà không tái hiện được. Với AI-01/AI-05/AI-07 các lỗi đều đã có trong log Ngày 23 và được tái hiện lại.</t>
  </si>
  <si>
    <t>Có bug nào tester tìm được mà AI không gợi ý?</t>
  </si>
  <si>
    <t>Rate limit của forgot-password (B24-01), submit code rỗng 500 (B24-02) và Coach lạc đề (B24-03) không nằm trong gợi ý trực tiếp của charter, tìm ra khi thử biến thể.</t>
  </si>
  <si>
    <t>Bug yield AI-assisted so với thủ công thế nào?</t>
  </si>
  <si>
    <t>AI-assisted 3 bug mới trong 15 phút (12/giờ); thủ công 0 bug mới trong 2 phút. Số liệu nhỏ và cả hai do AI chạy tự động, không so sánh công bằng được.</t>
  </si>
  <si>
    <t>Risk map Ngày 23 cần cập nhật gì?</t>
  </si>
  <si>
    <t>Thêm 3 bug B24-01..03 vào risk map (nhóm thiếu validation/rate limit, Coach guardrail). Cân nhắc nhóm "Thiếu rate limit" cho API auth.</t>
  </si>
  <si>
    <t>Quy trình exploratory testing lần sau cần đổi gì?</t>
  </si>
  <si>
    <t>Cần 2 tài khoản test và quyền xem log BE; ghi sẵn schema API của quiz; chạy ảnh chụp ở từng viewport bằng công cụ có resize; tester tự chọn và chạy charter thủ công.</t>
  </si>
  <si>
    <t>Kết luận cuối ngày</t>
  </si>
  <si>
    <t>Phiên chạy cho thấy risk map Ngày 23 còn đúng với web hiện tại và tìm thêm 3 bug. Nhưng đây mới là 1 vòng ngắn do AI thực thi; tester cần xem lại, chạy lại phần bị chặn và tự điền nhận định.</t>
  </si>
  <si>
    <t>AI WORKLOG Ngày 24</t>
  </si>
  <si>
    <t>Bài toán trước AI</t>
  </si>
  <si>
    <t>Cần thiết kế exploratory testing từ risk map Ngày 23 nhưng không để AI thay tester kết luận bug.</t>
  </si>
  <si>
    <t>Công cụ đã dùng</t>
  </si>
  <si>
    <t>Claude (chạy trên Chrome của tester, DevTools/JS), Excel. Codex không dùng trong lần chạy này.</t>
  </si>
  <si>
    <t>Chỉ dẫn chính cho AI</t>
  </si>
  <si>
    <t>Sinh 10 charter theo risk map; mỗi charter có mission, scope, ideas, timebox, evidence và giới hạn an toàn; không tự báo bug.</t>
  </si>
  <si>
    <t>AI đề xuất</t>
  </si>
  <si>
    <t>10 charter ở sheet 10_Charters và cấu trúc session report/bug yield.</t>
  </si>
  <si>
    <t>Phần AI chưa đủ hoặc bị loại bỏ</t>
  </si>
  <si>
    <t>AI chưa đủ: AI-02 cần 2 tài khoản; AI-08 cần ảnh từng viewport; AI-10 quá rộng. Phần bị loại: ownership 2 tài khoản, thử SMTP lỗi, brute force.</t>
  </si>
  <si>
    <t>Tester kiểm chứng độc lập</t>
  </si>
  <si>
    <t>Đã chạy lại trực tiếp trên web local ngày 08/10/2026 20:39 đến 20:47, có log/ảnh trong thư mục evidence. Tester nên tự chạy lại ít nhất B24-01 và B24-02 bằng Postman.</t>
  </si>
  <si>
    <t>Diff/quyết định của tester</t>
  </si>
  <si>
    <t>Tester tự điền. Lưu ý: charter thủ công MAN-01 và nội dung Lessons_Learned do AI điền nháp theo yêu cầu của tester, chưa phải nhận định của tester.</t>
  </si>
  <si>
    <t>Lệnh chạy FE/BE</t>
  </si>
  <si>
    <t>BE: cd learning-hub\BE; $env:PORT='3000'; npm.cmd run start:dev. FE: cd learning-hub\FE; $env:VITE_API_URL='http://localhost:3000/api'; npm.cmd run dev -- --port 5173 --strictPort</t>
  </si>
  <si>
    <t>Bằng chứng</t>
  </si>
  <si>
    <t>Thư mục evidence cạnh file này (ảnh .jpg/.png và log .txt cho từng phiên). Token đã che.</t>
  </si>
  <si>
    <t>Đã chạy 11 phiên (thực tế 1 đến 3 phút mỗi phiên, không đủ 20 phút/phiên). Chờ tester xem lại và tự điền các mục còn lại.</t>
  </si>
  <si>
    <t>Risk map nguồn từ Ngày 23</t>
  </si>
  <si>
    <t>Ưu tiên</t>
  </si>
  <si>
    <t>Root cause/risk</t>
  </si>
  <si>
    <t>Defect liên quan</t>
  </si>
  <si>
    <t>Khu vực</t>
  </si>
  <si>
    <t>Lý do đưa vào Ngày 24</t>
  </si>
  <si>
    <t>UI không theo chuẩn accessibility/responsive</t>
  </si>
  <si>
    <t>DEF-001..007</t>
  </si>
  <si>
    <t>FE Login/Register/Quiz/Playground</t>
  </si>
  <si>
    <t>Nhiều lỗi còn mở, ảnh hưởng người dùng bàn phím và tablet</t>
  </si>
  <si>
    <t>AI-07, AI-08</t>
  </si>
  <si>
    <t>Học liệu không qua gate tự động</t>
  </si>
  <si>
    <t>DEF-009..014</t>
  </si>
  <si>
    <t>Quiz/Coding content</t>
  </si>
  <si>
    <t>Có thể làm sai trải nghiệm và chấm điểm</t>
  </si>
  <si>
    <t>AI-03, AI-04</t>
  </si>
  <si>
    <t>API thiếu validation runtime</t>
  </si>
  <si>
    <t>DEF-026..028</t>
  </si>
  <si>
    <t>Auth/Quiz/Coach</t>
  </si>
  <si>
    <t>Input sai có thể gây 500 hoặc side effect</t>
  </si>
  <si>
    <t>AI-01, AI-02</t>
  </si>
  <si>
    <t>Không lọc thông tin nội bộ</t>
  </si>
  <si>
    <t>DEF-015,018,022,023,031,035</t>
  </si>
  <si>
    <t>Runner/Coach/API</t>
  </si>
  <si>
    <t>Có nguy cơ lộ path, traceback, hidden data</t>
  </si>
  <si>
    <t>AI-05, AI-06</t>
  </si>
  <si>
    <t>Guardrail AI chưa phủ child safety</t>
  </si>
  <si>
    <t>DEF-021</t>
  </si>
  <si>
    <t>AI Coach</t>
  </si>
  <si>
    <t>Sản phẩm phục vụ học sinh</t>
  </si>
  <si>
    <t>Môi trường và seed không đồng bộ</t>
  </si>
  <si>
    <t>DEF-029,030,032</t>
  </si>
  <si>
    <t>Quiz/Auth/Exercise</t>
  </si>
  <si>
    <t>Có thể chặn luồng và gây kết luận sai</t>
  </si>
  <si>
    <t>AI-03, AI-04, AI-09</t>
  </si>
  <si>
    <t>Thiếu test/gate cho thay đổi</t>
  </si>
  <si>
    <t>DEF-016,017,020,033,036</t>
  </si>
  <si>
    <t>Judge/RAG/Coach/Quiz</t>
  </si>
  <si>
    <t>Lỗi tích hợp và hồi quy khó thấy</t>
  </si>
  <si>
    <t>AI-02, AI-04, AI-10</t>
  </si>
  <si>
    <t>Hợp đồng FE-BE không có nguồn chung</t>
  </si>
  <si>
    <t>DEF-034</t>
  </si>
  <si>
    <t>Playground</t>
  </si>
  <si>
    <t>FE gửi input không đúng kỳ vọng BE</t>
  </si>
  <si>
    <t>Luồng liên chức năng</t>
  </si>
  <si>
    <t>Tổng hợp</t>
  </si>
  <si>
    <t>Toàn hệ thống</t>
  </si>
  <si>
    <t>Bug chỉ xuất hiện khi nối nhiều chức năng</t>
  </si>
  <si>
    <t>Charter thủ công đối chứng</t>
  </si>
  <si>
    <t>Không lấy từ AI</t>
  </si>
  <si>
    <t>Tester chọn</t>
  </si>
  <si>
    <t>Dùng so sánh bug yield</t>
  </si>
  <si>
    <t>9/10.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</si>
</sst>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000000"/>
      <name val="Arial"/>
    </font>
    <font>
      <b/>
      <sz val="10"/>
      <color rgb="FFFFFFFF"/>
      <name val="Arial"/>
    </font>
    <font>
      <sz val="10"/>
      <color rgb="FF222222"/>
      <name val="Arial"/>
    </font>
    <font>
      <sz val="11"/>
      <name val="Arial"/>
    </font>
    <font>
      <b/>
      <sz val="10"/>
      <color rgb="FF17365D"/>
      <name val="Arial"/>
    </font>
    <font>
      <sz val="10"/>
      <color rgb="FF17365D"/>
      <name val="Arial"/>
    </font>
    <font>
      <i/>
      <sz val="9"/>
      <color rgb="FF666666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  <fill>
      <patternFill patternType="solid">
        <fgColor rgb="FFF5F8FB"/>
      </patternFill>
    </fill>
    <fill>
      <patternFill patternType="solid">
        <fgColor rgb="FFFFF2CC"/>
      </patternFill>
    </fill>
    <fill>
      <patternFill patternType="solid">
        <fgColor rgb="FFFFF9E6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1F4E78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1" xfId="0" applyBorder="1"/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5" fillId="3" borderId="5" xfId="0" applyFont="1" applyFill="1" applyBorder="1" applyAlignment="1">
      <alignment vertical="top" wrapText="1"/>
    </xf>
    <xf numFmtId="0" fontId="3" fillId="4" borderId="4" xfId="0" applyFont="1" applyFill="1" applyBorder="1" applyAlignment="1">
      <alignment vertical="top" wrapText="1"/>
    </xf>
    <xf numFmtId="0" fontId="3" fillId="4" borderId="5" xfId="0" applyFont="1" applyFill="1" applyBorder="1" applyAlignment="1">
      <alignment vertical="top" wrapText="1"/>
    </xf>
    <xf numFmtId="0" fontId="5" fillId="4" borderId="4" xfId="0" applyFont="1" applyFill="1" applyBorder="1" applyAlignment="1">
      <alignment vertical="top" wrapText="1"/>
    </xf>
    <xf numFmtId="0" fontId="5" fillId="4" borderId="5" xfId="0" applyFont="1" applyFill="1" applyBorder="1" applyAlignment="1">
      <alignment vertical="top" wrapText="1"/>
    </xf>
    <xf numFmtId="0" fontId="3" fillId="4" borderId="4" xfId="0" applyFont="1" applyFill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4" borderId="5" xfId="0" applyFont="1" applyFill="1" applyBorder="1" applyAlignment="1">
      <alignment horizontal="center" vertical="top" wrapText="1"/>
    </xf>
    <xf numFmtId="0" fontId="3" fillId="5" borderId="5" xfId="0" applyFont="1" applyFill="1" applyBorder="1" applyAlignment="1">
      <alignment vertical="top" wrapText="1"/>
    </xf>
    <xf numFmtId="0" fontId="0" fillId="0" borderId="2" xfId="0" applyBorder="1"/>
    <xf numFmtId="0" fontId="3" fillId="6" borderId="4" xfId="0" applyFont="1" applyFill="1" applyBorder="1" applyAlignment="1">
      <alignment vertical="top" wrapText="1"/>
    </xf>
    <xf numFmtId="0" fontId="3" fillId="6" borderId="5" xfId="0" applyFont="1" applyFill="1" applyBorder="1" applyAlignment="1">
      <alignment vertical="top" wrapText="1"/>
    </xf>
    <xf numFmtId="0" fontId="6" fillId="4" borderId="4" xfId="0" applyFont="1" applyFill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6" fillId="4" borderId="5" xfId="0" applyFont="1" applyFill="1" applyBorder="1" applyAlignment="1">
      <alignment vertical="top" wrapText="1"/>
    </xf>
    <xf numFmtId="0" fontId="3" fillId="6" borderId="4" xfId="0" applyFont="1" applyFill="1" applyBorder="1" applyAlignment="1">
      <alignment horizontal="center" vertical="top" wrapText="1"/>
    </xf>
    <xf numFmtId="0" fontId="3" fillId="6" borderId="5" xfId="0" applyFont="1" applyFill="1" applyBorder="1" applyAlignment="1">
      <alignment horizontal="center" vertical="top" wrapText="1"/>
    </xf>
    <xf numFmtId="0" fontId="3" fillId="6" borderId="4" xfId="0" applyFont="1" applyFill="1" applyBorder="1" applyAlignment="1">
      <alignment horizontal="right" vertical="top" wrapText="1"/>
    </xf>
    <xf numFmtId="0" fontId="3" fillId="6" borderId="5" xfId="0" applyFont="1" applyFill="1" applyBorder="1" applyAlignment="1">
      <alignment horizontal="right" vertical="top" wrapText="1"/>
    </xf>
    <xf numFmtId="0" fontId="3" fillId="3" borderId="5" xfId="0" applyFont="1" applyFill="1" applyBorder="1" applyAlignment="1">
      <alignment vertical="top" wrapText="1"/>
    </xf>
    <xf numFmtId="0" fontId="3" fillId="0" borderId="4" xfId="0" applyFont="1" applyBorder="1" applyAlignment="1">
      <alignment horizontal="center" vertical="top" wrapText="1"/>
    </xf>
    <xf numFmtId="0" fontId="3" fillId="3" borderId="5" xfId="0" applyFont="1" applyFill="1" applyBorder="1" applyAlignment="1">
      <alignment horizontal="center" vertical="top" wrapText="1"/>
    </xf>
    <xf numFmtId="0" fontId="7" fillId="0" borderId="2" xfId="0" applyFont="1" applyBorder="1" applyAlignment="1">
      <alignment vertical="center"/>
    </xf>
    <xf numFmtId="0" fontId="3" fillId="5" borderId="4" xfId="0" applyFont="1" applyFill="1" applyBorder="1" applyAlignment="1">
      <alignment vertical="top" wrapText="1"/>
    </xf>
    <xf numFmtId="0" fontId="5" fillId="4" borderId="4" xfId="0" applyFont="1" applyFill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24">
    <dxf>
      <font>
        <color rgb="FF595959"/>
      </font>
      <fill>
        <patternFill patternType="solid">
          <bgColor rgb="FFE7E6E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595959"/>
      </font>
      <fill>
        <patternFill patternType="solid">
          <bgColor rgb="FFE7E6E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595959"/>
      </font>
      <fill>
        <patternFill patternType="solid">
          <bgColor rgb="FFE7E6E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006100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2:H12"/>
  <sheetViews>
    <sheetView showGridLines="0" workbookViewId="0">
      <selection activeCell="B26" sqref="B26"/>
    </sheetView>
  </sheetViews>
  <sheetFormatPr defaultRowHeight="14.25"/>
  <cols>
    <col min="1" max="1" width="24" style="4" customWidth="1"/>
    <col min="2" max="2" width="88" style="4" customWidth="1"/>
    <col min="3" max="16384" width="9" style="4"/>
  </cols>
  <sheetData>
    <row r="2" spans="1:8" ht="27.95" customHeight="1">
      <c r="A2" s="41" t="s">
        <v>0</v>
      </c>
      <c r="B2" s="41"/>
      <c r="C2" s="41"/>
      <c r="D2" s="41"/>
      <c r="E2" s="41"/>
      <c r="F2" s="41"/>
      <c r="G2" s="41"/>
      <c r="H2" s="41"/>
    </row>
    <row r="3" spans="1:8">
      <c r="A3" s="7"/>
      <c r="B3" s="7"/>
      <c r="C3" s="7"/>
      <c r="D3" s="7"/>
      <c r="E3" s="7"/>
      <c r="F3" s="7"/>
      <c r="G3" s="7"/>
      <c r="H3" s="7"/>
    </row>
    <row r="4" spans="1:8">
      <c r="A4" s="5"/>
      <c r="B4" s="5"/>
      <c r="C4" s="5"/>
      <c r="D4" s="5"/>
      <c r="E4" s="5"/>
      <c r="F4" s="5"/>
      <c r="G4" s="5"/>
      <c r="H4" s="5"/>
    </row>
    <row r="5" spans="1:8" ht="32.1" customHeight="1">
      <c r="A5" s="8" t="s">
        <v>1</v>
      </c>
      <c r="B5" s="8" t="s">
        <v>2</v>
      </c>
      <c r="C5" s="5"/>
      <c r="D5" s="5"/>
      <c r="E5" s="5"/>
      <c r="F5" s="5"/>
      <c r="G5" s="5"/>
      <c r="H5" s="5"/>
    </row>
    <row r="6" spans="1:8" ht="33.950000000000003" customHeight="1">
      <c r="A6" s="13" t="s">
        <v>3</v>
      </c>
      <c r="B6" s="9" t="s">
        <v>4</v>
      </c>
      <c r="C6" s="5"/>
      <c r="D6" s="5"/>
      <c r="E6" s="5"/>
      <c r="F6" s="5"/>
      <c r="G6" s="5"/>
      <c r="H6" s="5"/>
    </row>
    <row r="7" spans="1:8" ht="33.950000000000003" customHeight="1">
      <c r="A7" s="14" t="s">
        <v>5</v>
      </c>
      <c r="B7" s="10" t="s">
        <v>6</v>
      </c>
      <c r="C7" s="5"/>
      <c r="D7" s="5"/>
      <c r="E7" s="5"/>
      <c r="F7" s="5"/>
      <c r="G7" s="5"/>
      <c r="H7" s="5"/>
    </row>
    <row r="8" spans="1:8" ht="33.950000000000003" customHeight="1">
      <c r="A8" s="14" t="s">
        <v>7</v>
      </c>
      <c r="B8" s="10" t="s">
        <v>8</v>
      </c>
      <c r="C8" s="5"/>
      <c r="D8" s="5"/>
      <c r="E8" s="5"/>
      <c r="F8" s="5"/>
      <c r="G8" s="5"/>
      <c r="H8" s="5"/>
    </row>
    <row r="9" spans="1:8" ht="33.950000000000003" customHeight="1">
      <c r="A9" s="14" t="s">
        <v>9</v>
      </c>
      <c r="B9" s="10" t="s">
        <v>10</v>
      </c>
      <c r="C9" s="5"/>
      <c r="D9" s="5"/>
      <c r="E9" s="5"/>
      <c r="F9" s="5"/>
      <c r="G9" s="5"/>
      <c r="H9" s="5"/>
    </row>
    <row r="10" spans="1:8" ht="33.950000000000003" customHeight="1">
      <c r="A10" s="14" t="s">
        <v>11</v>
      </c>
      <c r="B10" s="10" t="s">
        <v>12</v>
      </c>
      <c r="C10" s="5"/>
      <c r="D10" s="5"/>
      <c r="E10" s="5"/>
      <c r="F10" s="5"/>
      <c r="G10" s="5"/>
      <c r="H10" s="5"/>
    </row>
    <row r="11" spans="1:8" ht="33.950000000000003" customHeight="1">
      <c r="A11" s="14" t="s">
        <v>13</v>
      </c>
      <c r="B11" s="10" t="s">
        <v>14</v>
      </c>
      <c r="C11" s="5"/>
      <c r="D11" s="5"/>
      <c r="E11" s="5"/>
      <c r="F11" s="5"/>
      <c r="G11" s="5"/>
      <c r="H11" s="5"/>
    </row>
    <row r="12" spans="1:8" ht="33.950000000000003" customHeight="1">
      <c r="A12" s="14" t="s">
        <v>15</v>
      </c>
      <c r="B12" s="10" t="s">
        <v>16</v>
      </c>
      <c r="C12" s="5"/>
      <c r="D12" s="5"/>
      <c r="E12" s="5"/>
      <c r="F12" s="5"/>
      <c r="G12" s="5"/>
      <c r="H12" s="5"/>
    </row>
  </sheetData>
  <mergeCells count="1"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2:J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12" style="4" customWidth="1"/>
    <col min="2" max="2" width="26" style="4" customWidth="1"/>
    <col min="3" max="3" width="22" style="4" customWidth="1"/>
    <col min="4" max="4" width="46" style="4" customWidth="1"/>
    <col min="5" max="5" width="28" style="4" customWidth="1"/>
    <col min="6" max="6" width="50" style="4" customWidth="1"/>
    <col min="7" max="7" width="34" style="4" customWidth="1"/>
    <col min="8" max="8" width="38" style="4" customWidth="1"/>
    <col min="9" max="9" width="13" style="4" customWidth="1"/>
    <col min="10" max="10" width="15" style="4" customWidth="1"/>
    <col min="11" max="16384" width="9" style="4"/>
  </cols>
  <sheetData>
    <row r="2" spans="1:10" ht="27.95" customHeight="1">
      <c r="A2" s="41" t="s">
        <v>17</v>
      </c>
      <c r="B2" s="41"/>
      <c r="C2" s="41"/>
      <c r="D2" s="41"/>
      <c r="E2" s="41"/>
      <c r="F2" s="41"/>
      <c r="G2" s="41"/>
      <c r="H2" s="41"/>
      <c r="I2" s="41"/>
      <c r="J2" s="41"/>
    </row>
    <row r="3" spans="1:10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 ht="32.1" customHeight="1">
      <c r="A4" s="8" t="s">
        <v>18</v>
      </c>
      <c r="B4" s="8" t="s">
        <v>19</v>
      </c>
      <c r="C4" s="8" t="s">
        <v>20</v>
      </c>
      <c r="D4" s="8" t="s">
        <v>21</v>
      </c>
      <c r="E4" s="8" t="s">
        <v>22</v>
      </c>
      <c r="F4" s="8" t="s">
        <v>23</v>
      </c>
      <c r="G4" s="8" t="s">
        <v>24</v>
      </c>
      <c r="H4" s="8" t="s">
        <v>25</v>
      </c>
      <c r="I4" s="8" t="s">
        <v>26</v>
      </c>
      <c r="J4" s="8" t="s">
        <v>27</v>
      </c>
    </row>
    <row r="5" spans="1:10" ht="72" customHeight="1">
      <c r="A5" s="17" t="s">
        <v>28</v>
      </c>
      <c r="B5" s="15" t="s">
        <v>29</v>
      </c>
      <c r="C5" s="15" t="s">
        <v>30</v>
      </c>
      <c r="D5" s="15" t="s">
        <v>31</v>
      </c>
      <c r="E5" s="15" t="s">
        <v>32</v>
      </c>
      <c r="F5" s="15" t="s">
        <v>33</v>
      </c>
      <c r="G5" s="15" t="s">
        <v>34</v>
      </c>
      <c r="H5" s="15" t="s">
        <v>35</v>
      </c>
      <c r="I5" s="19">
        <v>20</v>
      </c>
      <c r="J5" s="19" t="s">
        <v>36</v>
      </c>
    </row>
    <row r="6" spans="1:10" ht="72" customHeight="1">
      <c r="A6" s="12" t="s">
        <v>37</v>
      </c>
      <c r="B6" s="10" t="s">
        <v>38</v>
      </c>
      <c r="C6" s="10" t="s">
        <v>39</v>
      </c>
      <c r="D6" s="10" t="s">
        <v>40</v>
      </c>
      <c r="E6" s="10" t="s">
        <v>41</v>
      </c>
      <c r="F6" s="10" t="s">
        <v>42</v>
      </c>
      <c r="G6" s="10" t="s">
        <v>43</v>
      </c>
      <c r="H6" s="10" t="s">
        <v>44</v>
      </c>
      <c r="I6" s="20">
        <v>20</v>
      </c>
      <c r="J6" s="20" t="s">
        <v>45</v>
      </c>
    </row>
    <row r="7" spans="1:10" ht="72" customHeight="1">
      <c r="A7" s="18" t="s">
        <v>46</v>
      </c>
      <c r="B7" s="16" t="s">
        <v>47</v>
      </c>
      <c r="C7" s="16" t="s">
        <v>48</v>
      </c>
      <c r="D7" s="16" t="s">
        <v>49</v>
      </c>
      <c r="E7" s="16" t="s">
        <v>50</v>
      </c>
      <c r="F7" s="16" t="s">
        <v>51</v>
      </c>
      <c r="G7" s="16" t="s">
        <v>52</v>
      </c>
      <c r="H7" s="16" t="s">
        <v>53</v>
      </c>
      <c r="I7" s="21">
        <v>20</v>
      </c>
      <c r="J7" s="21" t="s">
        <v>36</v>
      </c>
    </row>
    <row r="8" spans="1:10" ht="72" customHeight="1">
      <c r="A8" s="12" t="s">
        <v>54</v>
      </c>
      <c r="B8" s="10" t="s">
        <v>55</v>
      </c>
      <c r="C8" s="10" t="s">
        <v>56</v>
      </c>
      <c r="D8" s="10" t="s">
        <v>57</v>
      </c>
      <c r="E8" s="10" t="s">
        <v>58</v>
      </c>
      <c r="F8" s="10" t="s">
        <v>59</v>
      </c>
      <c r="G8" s="10" t="s">
        <v>60</v>
      </c>
      <c r="H8" s="10" t="s">
        <v>61</v>
      </c>
      <c r="I8" s="20">
        <v>20</v>
      </c>
      <c r="J8" s="20" t="s">
        <v>36</v>
      </c>
    </row>
    <row r="9" spans="1:10" ht="72" customHeight="1">
      <c r="A9" s="18" t="s">
        <v>62</v>
      </c>
      <c r="B9" s="16" t="s">
        <v>63</v>
      </c>
      <c r="C9" s="16" t="s">
        <v>64</v>
      </c>
      <c r="D9" s="16" t="s">
        <v>65</v>
      </c>
      <c r="E9" s="16" t="s">
        <v>66</v>
      </c>
      <c r="F9" s="16" t="s">
        <v>67</v>
      </c>
      <c r="G9" s="16" t="s">
        <v>68</v>
      </c>
      <c r="H9" s="16" t="s">
        <v>69</v>
      </c>
      <c r="I9" s="21">
        <v>20</v>
      </c>
      <c r="J9" s="21" t="s">
        <v>36</v>
      </c>
    </row>
    <row r="10" spans="1:10" ht="72" customHeight="1">
      <c r="A10" s="12" t="s">
        <v>70</v>
      </c>
      <c r="B10" s="10" t="s">
        <v>71</v>
      </c>
      <c r="C10" s="10" t="s">
        <v>72</v>
      </c>
      <c r="D10" s="10" t="s">
        <v>73</v>
      </c>
      <c r="E10" s="10" t="s">
        <v>74</v>
      </c>
      <c r="F10" s="10" t="s">
        <v>75</v>
      </c>
      <c r="G10" s="10" t="s">
        <v>76</v>
      </c>
      <c r="H10" s="10" t="s">
        <v>77</v>
      </c>
      <c r="I10" s="20">
        <v>20</v>
      </c>
      <c r="J10" s="20" t="s">
        <v>36</v>
      </c>
    </row>
    <row r="11" spans="1:10" ht="72" customHeight="1">
      <c r="A11" s="18" t="s">
        <v>78</v>
      </c>
      <c r="B11" s="16" t="s">
        <v>79</v>
      </c>
      <c r="C11" s="16" t="s">
        <v>80</v>
      </c>
      <c r="D11" s="16" t="s">
        <v>81</v>
      </c>
      <c r="E11" s="16" t="s">
        <v>82</v>
      </c>
      <c r="F11" s="16" t="s">
        <v>83</v>
      </c>
      <c r="G11" s="16" t="s">
        <v>84</v>
      </c>
      <c r="H11" s="16" t="s">
        <v>85</v>
      </c>
      <c r="I11" s="21">
        <v>20</v>
      </c>
      <c r="J11" s="21" t="s">
        <v>36</v>
      </c>
    </row>
    <row r="12" spans="1:10" ht="72" customHeight="1">
      <c r="A12" s="12" t="s">
        <v>86</v>
      </c>
      <c r="B12" s="10" t="s">
        <v>87</v>
      </c>
      <c r="C12" s="10" t="s">
        <v>88</v>
      </c>
      <c r="D12" s="10" t="s">
        <v>89</v>
      </c>
      <c r="E12" s="10" t="s">
        <v>90</v>
      </c>
      <c r="F12" s="10" t="s">
        <v>91</v>
      </c>
      <c r="G12" s="10" t="s">
        <v>92</v>
      </c>
      <c r="H12" s="10" t="s">
        <v>93</v>
      </c>
      <c r="I12" s="20">
        <v>20</v>
      </c>
      <c r="J12" s="20" t="s">
        <v>36</v>
      </c>
    </row>
    <row r="13" spans="1:10" ht="72" customHeight="1">
      <c r="A13" s="18" t="s">
        <v>94</v>
      </c>
      <c r="B13" s="16" t="s">
        <v>95</v>
      </c>
      <c r="C13" s="16" t="s">
        <v>96</v>
      </c>
      <c r="D13" s="16" t="s">
        <v>97</v>
      </c>
      <c r="E13" s="16" t="s">
        <v>98</v>
      </c>
      <c r="F13" s="16" t="s">
        <v>99</v>
      </c>
      <c r="G13" s="16" t="s">
        <v>100</v>
      </c>
      <c r="H13" s="16" t="s">
        <v>101</v>
      </c>
      <c r="I13" s="21">
        <v>20</v>
      </c>
      <c r="J13" s="21" t="s">
        <v>36</v>
      </c>
    </row>
    <row r="14" spans="1:10" ht="72" customHeight="1">
      <c r="A14" s="12" t="s">
        <v>102</v>
      </c>
      <c r="B14" s="10" t="s">
        <v>103</v>
      </c>
      <c r="C14" s="10" t="s">
        <v>104</v>
      </c>
      <c r="D14" s="10" t="s">
        <v>105</v>
      </c>
      <c r="E14" s="10" t="s">
        <v>106</v>
      </c>
      <c r="F14" s="10" t="s">
        <v>107</v>
      </c>
      <c r="G14" s="10" t="s">
        <v>108</v>
      </c>
      <c r="H14" s="10" t="s">
        <v>109</v>
      </c>
      <c r="I14" s="20">
        <v>25</v>
      </c>
      <c r="J14" s="20" t="s">
        <v>36</v>
      </c>
    </row>
  </sheetData>
  <mergeCells count="1">
    <mergeCell ref="A2:J2"/>
  </mergeCells>
  <conditionalFormatting sqref="J5:J14">
    <cfRule type="containsText" dxfId="23" priority="1" operator="containsText" text="Hoàn tất"/>
    <cfRule type="containsText" dxfId="22" priority="2" operator="containsText" text="Đã chạy"/>
    <cfRule type="containsText" dxfId="21" priority="3" operator="containsText" text="Chạy một phần"/>
    <cfRule type="containsText" dxfId="20" priority="4" operator="containsText" text="PASS"/>
    <cfRule type="containsText" dxfId="19" priority="5" operator="containsText" text="Có bug"/>
    <cfRule type="containsText" dxfId="18" priority="6" operator="containsText" text="Bị chặn"/>
    <cfRule type="containsText" dxfId="17" priority="7" operator="containsText" text="Cần retest"/>
    <cfRule type="containsText" dxfId="16" priority="8" operator="containsText" text="Chưa chạy"/>
  </conditionalFormatting>
  <dataValidations count="1">
    <dataValidation type="list" sqref="J5:J14" xr:uid="{00000000-0002-0000-0100-000000000000}">
      <formula1>"Chưa chạy,Đang chạy,Hoàn tất,Bị chặn"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2:H14"/>
  <sheetViews>
    <sheetView showGridLines="0" workbookViewId="0"/>
  </sheetViews>
  <sheetFormatPr defaultRowHeight="14.25"/>
  <cols>
    <col min="1" max="1" width="24" style="4" customWidth="1"/>
    <col min="2" max="2" width="82" style="4" customWidth="1"/>
    <col min="3" max="16384" width="9" style="4"/>
  </cols>
  <sheetData>
    <row r="2" spans="1:8" ht="27.95" customHeight="1">
      <c r="A2" s="41" t="s">
        <v>110</v>
      </c>
      <c r="B2" s="41"/>
      <c r="C2" s="41"/>
      <c r="D2" s="41"/>
      <c r="E2" s="41"/>
      <c r="F2" s="41"/>
      <c r="G2" s="41"/>
      <c r="H2" s="41"/>
    </row>
    <row r="3" spans="1:8">
      <c r="A3" s="7"/>
      <c r="B3" s="7"/>
      <c r="C3" s="7"/>
      <c r="D3" s="7"/>
      <c r="E3" s="7"/>
      <c r="F3" s="7"/>
      <c r="G3" s="7"/>
      <c r="H3" s="7"/>
    </row>
    <row r="4" spans="1:8">
      <c r="A4" s="5"/>
      <c r="B4" s="5"/>
      <c r="C4" s="5"/>
      <c r="D4" s="5"/>
      <c r="E4" s="5"/>
      <c r="F4" s="5"/>
      <c r="G4" s="5"/>
      <c r="H4" s="5"/>
    </row>
    <row r="5" spans="1:8" ht="32.1" customHeight="1">
      <c r="A5" s="8" t="s">
        <v>111</v>
      </c>
      <c r="B5" s="8" t="s">
        <v>112</v>
      </c>
      <c r="C5" s="5"/>
      <c r="D5" s="5"/>
      <c r="E5" s="5"/>
      <c r="F5" s="5"/>
      <c r="G5" s="5"/>
      <c r="H5" s="5"/>
    </row>
    <row r="6" spans="1:8" ht="27.95" customHeight="1">
      <c r="A6" s="13" t="s">
        <v>18</v>
      </c>
      <c r="B6" s="9" t="s">
        <v>113</v>
      </c>
      <c r="C6" s="5"/>
      <c r="D6" s="5"/>
      <c r="E6" s="5"/>
      <c r="F6" s="5"/>
      <c r="G6" s="5"/>
      <c r="H6" s="5"/>
    </row>
    <row r="7" spans="1:8" ht="27.95" customHeight="1">
      <c r="A7" s="14" t="s">
        <v>19</v>
      </c>
      <c r="B7" s="22" t="s">
        <v>114</v>
      </c>
      <c r="C7" s="5"/>
      <c r="D7" s="5"/>
      <c r="E7" s="5"/>
      <c r="F7" s="5"/>
      <c r="G7" s="5"/>
      <c r="H7" s="5"/>
    </row>
    <row r="8" spans="1:8" ht="27.95" customHeight="1">
      <c r="A8" s="14" t="s">
        <v>115</v>
      </c>
      <c r="B8" s="22" t="s">
        <v>116</v>
      </c>
      <c r="C8" s="5"/>
      <c r="D8" s="5"/>
      <c r="E8" s="5"/>
      <c r="F8" s="5"/>
      <c r="G8" s="5"/>
      <c r="H8" s="5"/>
    </row>
    <row r="9" spans="1:8" ht="45.95" customHeight="1">
      <c r="A9" s="14" t="s">
        <v>21</v>
      </c>
      <c r="B9" s="22" t="s">
        <v>117</v>
      </c>
      <c r="C9" s="5"/>
      <c r="D9" s="5"/>
      <c r="E9" s="5"/>
      <c r="F9" s="5"/>
      <c r="G9" s="5"/>
      <c r="H9" s="5"/>
    </row>
    <row r="10" spans="1:8" ht="45.95" customHeight="1">
      <c r="A10" s="14" t="s">
        <v>22</v>
      </c>
      <c r="B10" s="22" t="s">
        <v>118</v>
      </c>
      <c r="C10" s="5"/>
      <c r="D10" s="5"/>
      <c r="E10" s="5"/>
      <c r="F10" s="5"/>
      <c r="G10" s="5"/>
      <c r="H10" s="5"/>
    </row>
    <row r="11" spans="1:8" ht="45.95" customHeight="1">
      <c r="A11" s="14" t="s">
        <v>119</v>
      </c>
      <c r="B11" s="22" t="s">
        <v>120</v>
      </c>
      <c r="C11" s="5"/>
      <c r="D11" s="5"/>
      <c r="E11" s="5"/>
      <c r="F11" s="5"/>
      <c r="G11" s="5"/>
      <c r="H11" s="5"/>
    </row>
    <row r="12" spans="1:8" ht="45.95" customHeight="1">
      <c r="A12" s="14" t="s">
        <v>24</v>
      </c>
      <c r="B12" s="22" t="s">
        <v>121</v>
      </c>
      <c r="C12" s="5"/>
      <c r="D12" s="5"/>
      <c r="E12" s="5"/>
      <c r="F12" s="5"/>
      <c r="G12" s="5"/>
      <c r="H12" s="5"/>
    </row>
    <row r="13" spans="1:8" ht="27.95" customHeight="1">
      <c r="A13" s="14" t="s">
        <v>26</v>
      </c>
      <c r="B13" s="10">
        <v>20</v>
      </c>
      <c r="C13" s="5"/>
      <c r="D13" s="5"/>
      <c r="E13" s="5"/>
      <c r="F13" s="5"/>
      <c r="G13" s="5"/>
      <c r="H13" s="5"/>
    </row>
    <row r="14" spans="1:8" ht="27.95" customHeight="1">
      <c r="A14" s="14" t="s">
        <v>27</v>
      </c>
      <c r="B14" s="22" t="s">
        <v>122</v>
      </c>
      <c r="C14" s="5"/>
      <c r="D14" s="5"/>
      <c r="E14" s="5"/>
      <c r="F14" s="5"/>
      <c r="G14" s="5"/>
      <c r="H14" s="5"/>
    </row>
  </sheetData>
  <mergeCells count="1">
    <mergeCell ref="A2:H2"/>
  </mergeCells>
  <conditionalFormatting sqref="B14">
    <cfRule type="containsText" dxfId="15" priority="1" operator="containsText" text="Hoàn tất"/>
    <cfRule type="containsText" dxfId="14" priority="2" operator="containsText" text="Đã chạy"/>
    <cfRule type="containsText" dxfId="13" priority="3" operator="containsText" text="Chạy một phần"/>
    <cfRule type="containsText" dxfId="12" priority="4" operator="containsText" text="PASS"/>
    <cfRule type="containsText" dxfId="11" priority="5" operator="containsText" text="Có bug"/>
    <cfRule type="containsText" dxfId="10" priority="6" operator="containsText" text="Bị chặn"/>
    <cfRule type="containsText" dxfId="9" priority="7" operator="containsText" text="Cần retest"/>
    <cfRule type="containsText" dxfId="8" priority="8" operator="containsText" text="Chưa chạy"/>
  </conditionalFormatting>
  <dataValidations count="1">
    <dataValidation type="list" sqref="B14" xr:uid="{00000000-0002-0000-0200-000000000000}">
      <formula1>"Chưa chạy,Đang chạy,Hoàn tất,Bị chặn"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2:P15"/>
  <sheetViews>
    <sheetView showGridLines="0" workbookViewId="0">
      <pane xSplit="3" ySplit="4" topLeftCell="D9" activePane="bottomRight" state="frozen"/>
      <selection pane="topRight"/>
      <selection pane="bottomLeft"/>
      <selection pane="bottomRight" activeCell="D5" sqref="D5:D15"/>
    </sheetView>
  </sheetViews>
  <sheetFormatPr defaultRowHeight="14.25"/>
  <cols>
    <col min="1" max="1" width="14" style="4" customWidth="1"/>
    <col min="2" max="2" width="12" style="4" customWidth="1"/>
    <col min="3" max="3" width="14" style="4" customWidth="1"/>
    <col min="4" max="4" width="12" style="4" customWidth="1"/>
    <col min="5" max="6" width="10" customWidth="1"/>
    <col min="7" max="7" width="14" style="4" customWidth="1"/>
    <col min="8" max="8" width="22" style="4" customWidth="1"/>
    <col min="9" max="10" width="42" customWidth="1"/>
    <col min="11" max="11" width="34" style="4" customWidth="1"/>
    <col min="12" max="13" width="11" customWidth="1"/>
    <col min="14" max="14" width="13" style="4" customWidth="1"/>
    <col min="15" max="15" width="18" style="4" customWidth="1"/>
    <col min="16" max="16" width="48" style="4" customWidth="1"/>
    <col min="17" max="16384" width="9" style="4"/>
  </cols>
  <sheetData>
    <row r="2" spans="1:16" ht="27.95" customHeight="1">
      <c r="A2" s="41" t="s">
        <v>123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6"/>
    </row>
    <row r="3" spans="1:16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23"/>
    </row>
    <row r="4" spans="1:16" ht="32.1" customHeight="1">
      <c r="A4" s="8" t="s">
        <v>124</v>
      </c>
      <c r="B4" s="8" t="s">
        <v>18</v>
      </c>
      <c r="C4" s="8" t="s">
        <v>125</v>
      </c>
      <c r="D4" s="8" t="s">
        <v>126</v>
      </c>
      <c r="E4" s="8" t="s">
        <v>127</v>
      </c>
      <c r="F4" s="8" t="s">
        <v>128</v>
      </c>
      <c r="G4" s="8" t="s">
        <v>129</v>
      </c>
      <c r="H4" s="8" t="s">
        <v>130</v>
      </c>
      <c r="I4" s="8" t="s">
        <v>131</v>
      </c>
      <c r="J4" s="8" t="s">
        <v>132</v>
      </c>
      <c r="K4" s="8" t="s">
        <v>133</v>
      </c>
      <c r="L4" s="8" t="s">
        <v>134</v>
      </c>
      <c r="M4" s="8" t="s">
        <v>135</v>
      </c>
      <c r="N4" s="8" t="s">
        <v>136</v>
      </c>
      <c r="O4" s="8" t="s">
        <v>137</v>
      </c>
      <c r="P4" s="8" t="s">
        <v>138</v>
      </c>
    </row>
    <row r="5" spans="1:16" ht="60" customHeight="1">
      <c r="A5" s="17" t="s">
        <v>139</v>
      </c>
      <c r="B5" s="17" t="s">
        <v>28</v>
      </c>
      <c r="C5" s="26" t="s">
        <v>140</v>
      </c>
      <c r="D5" s="29" t="s">
        <v>337</v>
      </c>
      <c r="E5" s="29" t="s">
        <v>141</v>
      </c>
      <c r="F5" s="29" t="s">
        <v>142</v>
      </c>
      <c r="G5" s="31">
        <v>2</v>
      </c>
      <c r="H5" s="24" t="s">
        <v>143</v>
      </c>
      <c r="I5" s="24" t="s">
        <v>144</v>
      </c>
      <c r="J5" s="24" t="s">
        <v>145</v>
      </c>
      <c r="K5" s="24" t="s">
        <v>146</v>
      </c>
      <c r="L5" s="29">
        <v>1</v>
      </c>
      <c r="M5" s="29">
        <v>0</v>
      </c>
      <c r="N5" s="29">
        <v>1</v>
      </c>
      <c r="O5" s="29" t="s">
        <v>147</v>
      </c>
      <c r="P5" s="24" t="s">
        <v>148</v>
      </c>
    </row>
    <row r="6" spans="1:16" ht="60" customHeight="1">
      <c r="A6" s="12" t="s">
        <v>149</v>
      </c>
      <c r="B6" s="12" t="s">
        <v>37</v>
      </c>
      <c r="C6" s="27" t="s">
        <v>140</v>
      </c>
      <c r="D6" s="29" t="s">
        <v>337</v>
      </c>
      <c r="E6" s="30" t="s">
        <v>150</v>
      </c>
      <c r="F6" s="30" t="s">
        <v>151</v>
      </c>
      <c r="G6" s="32">
        <v>2</v>
      </c>
      <c r="H6" s="25" t="s">
        <v>143</v>
      </c>
      <c r="I6" s="25" t="s">
        <v>152</v>
      </c>
      <c r="J6" s="25" t="s">
        <v>153</v>
      </c>
      <c r="K6" s="25" t="s">
        <v>154</v>
      </c>
      <c r="L6" s="30">
        <v>1</v>
      </c>
      <c r="M6" s="30">
        <v>0</v>
      </c>
      <c r="N6" s="30">
        <v>0</v>
      </c>
      <c r="O6" s="30" t="s">
        <v>155</v>
      </c>
      <c r="P6" s="25" t="s">
        <v>156</v>
      </c>
    </row>
    <row r="7" spans="1:16" ht="60" customHeight="1">
      <c r="A7" s="18" t="s">
        <v>157</v>
      </c>
      <c r="B7" s="18" t="s">
        <v>46</v>
      </c>
      <c r="C7" s="28" t="s">
        <v>140</v>
      </c>
      <c r="D7" s="29" t="s">
        <v>337</v>
      </c>
      <c r="E7" s="30" t="s">
        <v>142</v>
      </c>
      <c r="F7" s="30" t="s">
        <v>151</v>
      </c>
      <c r="G7" s="32">
        <v>1</v>
      </c>
      <c r="H7" s="25" t="s">
        <v>143</v>
      </c>
      <c r="I7" s="25" t="s">
        <v>158</v>
      </c>
      <c r="J7" s="25" t="s">
        <v>159</v>
      </c>
      <c r="K7" s="25" t="s">
        <v>154</v>
      </c>
      <c r="L7" s="30">
        <v>2</v>
      </c>
      <c r="M7" s="30">
        <v>0</v>
      </c>
      <c r="N7" s="30">
        <v>0</v>
      </c>
      <c r="O7" s="30" t="s">
        <v>147</v>
      </c>
      <c r="P7" s="25" t="s">
        <v>160</v>
      </c>
    </row>
    <row r="8" spans="1:16" ht="60" customHeight="1">
      <c r="A8" s="12" t="s">
        <v>161</v>
      </c>
      <c r="B8" s="12" t="s">
        <v>54</v>
      </c>
      <c r="C8" s="27" t="s">
        <v>140</v>
      </c>
      <c r="D8" s="29" t="s">
        <v>337</v>
      </c>
      <c r="E8" s="30" t="s">
        <v>142</v>
      </c>
      <c r="F8" s="30" t="s">
        <v>162</v>
      </c>
      <c r="G8" s="32">
        <v>3</v>
      </c>
      <c r="H8" s="25" t="s">
        <v>143</v>
      </c>
      <c r="I8" s="25" t="s">
        <v>163</v>
      </c>
      <c r="J8" s="25" t="s">
        <v>164</v>
      </c>
      <c r="K8" s="25" t="s">
        <v>165</v>
      </c>
      <c r="L8" s="30">
        <v>3</v>
      </c>
      <c r="M8" s="30">
        <v>1</v>
      </c>
      <c r="N8" s="30">
        <v>0</v>
      </c>
      <c r="O8" s="30" t="s">
        <v>147</v>
      </c>
      <c r="P8" s="25" t="s">
        <v>166</v>
      </c>
    </row>
    <row r="9" spans="1:16" ht="60" customHeight="1">
      <c r="A9" s="18" t="s">
        <v>167</v>
      </c>
      <c r="B9" s="18" t="s">
        <v>62</v>
      </c>
      <c r="C9" s="28" t="s">
        <v>140</v>
      </c>
      <c r="D9" s="29" t="s">
        <v>337</v>
      </c>
      <c r="E9" s="30" t="s">
        <v>151</v>
      </c>
      <c r="F9" s="30" t="s">
        <v>168</v>
      </c>
      <c r="G9" s="32">
        <v>1</v>
      </c>
      <c r="H9" s="25" t="s">
        <v>143</v>
      </c>
      <c r="I9" s="25" t="s">
        <v>169</v>
      </c>
      <c r="J9" s="25" t="s">
        <v>170</v>
      </c>
      <c r="K9" s="25" t="s">
        <v>171</v>
      </c>
      <c r="L9" s="30">
        <v>2</v>
      </c>
      <c r="M9" s="30">
        <v>0</v>
      </c>
      <c r="N9" s="30">
        <v>0</v>
      </c>
      <c r="O9" s="30" t="s">
        <v>147</v>
      </c>
      <c r="P9" s="25" t="s">
        <v>172</v>
      </c>
    </row>
    <row r="10" spans="1:16" ht="60" customHeight="1">
      <c r="A10" s="12" t="s">
        <v>173</v>
      </c>
      <c r="B10" s="12" t="s">
        <v>70</v>
      </c>
      <c r="C10" s="27" t="s">
        <v>140</v>
      </c>
      <c r="D10" s="29" t="s">
        <v>337</v>
      </c>
      <c r="E10" s="30" t="s">
        <v>151</v>
      </c>
      <c r="F10" s="30" t="s">
        <v>162</v>
      </c>
      <c r="G10" s="32">
        <v>2</v>
      </c>
      <c r="H10" s="25" t="s">
        <v>143</v>
      </c>
      <c r="I10" s="25" t="s">
        <v>174</v>
      </c>
      <c r="J10" s="25" t="s">
        <v>175</v>
      </c>
      <c r="K10" s="25" t="s">
        <v>176</v>
      </c>
      <c r="L10" s="30">
        <v>2</v>
      </c>
      <c r="M10" s="30">
        <v>1</v>
      </c>
      <c r="N10" s="30">
        <v>1</v>
      </c>
      <c r="O10" s="30" t="s">
        <v>147</v>
      </c>
      <c r="P10" s="25" t="s">
        <v>177</v>
      </c>
    </row>
    <row r="11" spans="1:16" ht="60" customHeight="1">
      <c r="A11" s="18" t="s">
        <v>178</v>
      </c>
      <c r="B11" s="18" t="s">
        <v>78</v>
      </c>
      <c r="C11" s="28" t="s">
        <v>140</v>
      </c>
      <c r="D11" s="29" t="s">
        <v>337</v>
      </c>
      <c r="E11" s="30" t="s">
        <v>168</v>
      </c>
      <c r="F11" s="30" t="s">
        <v>162</v>
      </c>
      <c r="G11" s="32">
        <v>1</v>
      </c>
      <c r="H11" s="25" t="s">
        <v>143</v>
      </c>
      <c r="I11" s="25" t="s">
        <v>179</v>
      </c>
      <c r="J11" s="25" t="s">
        <v>180</v>
      </c>
      <c r="K11" s="25" t="s">
        <v>181</v>
      </c>
      <c r="L11" s="30">
        <v>3</v>
      </c>
      <c r="M11" s="30">
        <v>0</v>
      </c>
      <c r="N11" s="30">
        <v>0</v>
      </c>
      <c r="O11" s="30" t="s">
        <v>147</v>
      </c>
      <c r="P11" s="25" t="s">
        <v>182</v>
      </c>
    </row>
    <row r="12" spans="1:16" ht="60" customHeight="1">
      <c r="A12" s="12" t="s">
        <v>183</v>
      </c>
      <c r="B12" s="12" t="s">
        <v>86</v>
      </c>
      <c r="C12" s="27" t="s">
        <v>140</v>
      </c>
      <c r="D12" s="29" t="s">
        <v>337</v>
      </c>
      <c r="E12" s="30" t="s">
        <v>168</v>
      </c>
      <c r="F12" s="30" t="s">
        <v>162</v>
      </c>
      <c r="G12" s="32">
        <v>1</v>
      </c>
      <c r="H12" s="25" t="s">
        <v>143</v>
      </c>
      <c r="I12" s="25" t="s">
        <v>184</v>
      </c>
      <c r="J12" s="25" t="s">
        <v>185</v>
      </c>
      <c r="K12" s="25" t="s">
        <v>181</v>
      </c>
      <c r="L12" s="30">
        <v>1</v>
      </c>
      <c r="M12" s="30">
        <v>0</v>
      </c>
      <c r="N12" s="30">
        <v>1</v>
      </c>
      <c r="O12" s="30" t="s">
        <v>186</v>
      </c>
      <c r="P12" s="25" t="s">
        <v>187</v>
      </c>
    </row>
    <row r="13" spans="1:16" ht="60" customHeight="1">
      <c r="A13" s="18" t="s">
        <v>188</v>
      </c>
      <c r="B13" s="18" t="s">
        <v>94</v>
      </c>
      <c r="C13" s="28" t="s">
        <v>140</v>
      </c>
      <c r="D13" s="29" t="s">
        <v>337</v>
      </c>
      <c r="E13" s="30" t="s">
        <v>162</v>
      </c>
      <c r="F13" s="30" t="s">
        <v>189</v>
      </c>
      <c r="G13" s="32">
        <v>1</v>
      </c>
      <c r="H13" s="25" t="s">
        <v>143</v>
      </c>
      <c r="I13" s="25" t="s">
        <v>190</v>
      </c>
      <c r="J13" s="25" t="s">
        <v>191</v>
      </c>
      <c r="K13" s="25" t="s">
        <v>192</v>
      </c>
      <c r="L13" s="30">
        <v>1</v>
      </c>
      <c r="M13" s="30">
        <v>1</v>
      </c>
      <c r="N13" s="30">
        <v>1</v>
      </c>
      <c r="O13" s="30" t="s">
        <v>147</v>
      </c>
      <c r="P13" s="25" t="s">
        <v>193</v>
      </c>
    </row>
    <row r="14" spans="1:16" ht="60" customHeight="1">
      <c r="A14" s="12" t="s">
        <v>194</v>
      </c>
      <c r="B14" s="12" t="s">
        <v>102</v>
      </c>
      <c r="C14" s="27" t="s">
        <v>140</v>
      </c>
      <c r="D14" s="29" t="s">
        <v>337</v>
      </c>
      <c r="E14" s="30" t="s">
        <v>162</v>
      </c>
      <c r="F14" s="30" t="s">
        <v>189</v>
      </c>
      <c r="G14" s="32">
        <v>1</v>
      </c>
      <c r="H14" s="25" t="s">
        <v>143</v>
      </c>
      <c r="I14" s="25" t="s">
        <v>195</v>
      </c>
      <c r="J14" s="25" t="s">
        <v>196</v>
      </c>
      <c r="K14" s="25" t="s">
        <v>192</v>
      </c>
      <c r="L14" s="30">
        <v>0</v>
      </c>
      <c r="M14" s="30">
        <v>0</v>
      </c>
      <c r="N14" s="30">
        <v>2</v>
      </c>
      <c r="O14" s="30" t="s">
        <v>186</v>
      </c>
      <c r="P14" s="25" t="s">
        <v>197</v>
      </c>
    </row>
    <row r="15" spans="1:16" ht="60" customHeight="1">
      <c r="A15" s="18" t="s">
        <v>198</v>
      </c>
      <c r="B15" s="18" t="s">
        <v>113</v>
      </c>
      <c r="C15" s="28" t="s">
        <v>199</v>
      </c>
      <c r="D15" s="29" t="s">
        <v>337</v>
      </c>
      <c r="E15" s="30" t="s">
        <v>189</v>
      </c>
      <c r="F15" s="30" t="s">
        <v>200</v>
      </c>
      <c r="G15" s="32">
        <v>2</v>
      </c>
      <c r="H15" s="25" t="s">
        <v>143</v>
      </c>
      <c r="I15" s="25" t="s">
        <v>201</v>
      </c>
      <c r="J15" s="25" t="s">
        <v>202</v>
      </c>
      <c r="K15" s="25" t="s">
        <v>203</v>
      </c>
      <c r="L15" s="30">
        <v>1</v>
      </c>
      <c r="M15" s="30">
        <v>0</v>
      </c>
      <c r="N15" s="30">
        <v>1</v>
      </c>
      <c r="O15" s="30" t="s">
        <v>186</v>
      </c>
      <c r="P15" s="25" t="s">
        <v>204</v>
      </c>
    </row>
  </sheetData>
  <mergeCells count="1">
    <mergeCell ref="A2:O2"/>
  </mergeCells>
  <conditionalFormatting sqref="O5:O15">
    <cfRule type="containsText" dxfId="7" priority="1" operator="containsText" text="Hoàn tất"/>
    <cfRule type="containsText" dxfId="6" priority="2" operator="containsText" text="Đã chạy"/>
    <cfRule type="containsText" dxfId="5" priority="3" operator="containsText" text="Chạy một phần"/>
    <cfRule type="containsText" dxfId="4" priority="4" operator="containsText" text="PASS"/>
    <cfRule type="containsText" dxfId="3" priority="5" operator="containsText" text="Có bug"/>
    <cfRule type="containsText" dxfId="2" priority="6" operator="containsText" text="Bị chặn"/>
    <cfRule type="containsText" dxfId="1" priority="7" operator="containsText" text="Cần retest"/>
    <cfRule type="containsText" dxfId="0" priority="8" operator="containsText" text="Chưa chạy"/>
  </conditionalFormatting>
  <dataValidations count="1">
    <dataValidation type="list" sqref="O5:O15" xr:uid="{00000000-0002-0000-0300-000000000000}">
      <formula1>"Chưa chạy,PASS,Có bug,Bị chặn,Cần retest"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7"/>
  <sheetViews>
    <sheetView workbookViewId="0">
      <selection activeCell="D18" sqref="D18"/>
    </sheetView>
  </sheetViews>
  <sheetFormatPr defaultRowHeight="14.25"/>
  <cols>
    <col min="1" max="1" width="10" customWidth="1"/>
    <col min="2" max="2" width="9" customWidth="1"/>
    <col min="3" max="3" width="32" customWidth="1"/>
    <col min="4" max="4" width="52" customWidth="1"/>
    <col min="5" max="6" width="38" customWidth="1"/>
    <col min="7" max="7" width="10" customWidth="1"/>
    <col min="8" max="8" width="38" customWidth="1"/>
    <col min="9" max="9" width="20" customWidth="1"/>
  </cols>
  <sheetData>
    <row r="2" spans="1:9" ht="20.25">
      <c r="A2" s="1" t="s">
        <v>205</v>
      </c>
    </row>
    <row r="4" spans="1:9">
      <c r="A4" s="2" t="s">
        <v>206</v>
      </c>
      <c r="B4" s="2" t="s">
        <v>207</v>
      </c>
      <c r="C4" s="2" t="s">
        <v>208</v>
      </c>
      <c r="D4" s="2" t="s">
        <v>209</v>
      </c>
      <c r="E4" s="2" t="s">
        <v>210</v>
      </c>
      <c r="F4" s="2" t="s">
        <v>211</v>
      </c>
      <c r="G4" s="2" t="s">
        <v>212</v>
      </c>
      <c r="H4" s="2" t="s">
        <v>213</v>
      </c>
      <c r="I4" s="2" t="s">
        <v>27</v>
      </c>
    </row>
    <row r="5" spans="1:9" ht="110.1" customHeight="1">
      <c r="A5" s="3" t="s">
        <v>214</v>
      </c>
      <c r="B5" s="3" t="s">
        <v>94</v>
      </c>
      <c r="C5" s="3" t="s">
        <v>215</v>
      </c>
      <c r="D5" s="3" t="s">
        <v>216</v>
      </c>
      <c r="E5" s="3" t="s">
        <v>217</v>
      </c>
      <c r="F5" s="3" t="s">
        <v>218</v>
      </c>
      <c r="G5" s="3" t="s">
        <v>219</v>
      </c>
      <c r="H5" s="3" t="s">
        <v>192</v>
      </c>
      <c r="I5" s="3" t="s">
        <v>220</v>
      </c>
    </row>
    <row r="6" spans="1:9" ht="110.1" customHeight="1">
      <c r="A6" s="3" t="s">
        <v>221</v>
      </c>
      <c r="B6" s="3" t="s">
        <v>54</v>
      </c>
      <c r="C6" s="3" t="s">
        <v>222</v>
      </c>
      <c r="D6" s="3" t="s">
        <v>223</v>
      </c>
      <c r="E6" s="3" t="s">
        <v>224</v>
      </c>
      <c r="F6" s="3" t="s">
        <v>225</v>
      </c>
      <c r="G6" s="3" t="s">
        <v>219</v>
      </c>
      <c r="H6" s="3" t="s">
        <v>171</v>
      </c>
      <c r="I6" s="3" t="s">
        <v>226</v>
      </c>
    </row>
    <row r="7" spans="1:9" ht="110.1" customHeight="1">
      <c r="A7" s="3" t="s">
        <v>227</v>
      </c>
      <c r="B7" s="3" t="s">
        <v>70</v>
      </c>
      <c r="C7" s="3" t="s">
        <v>228</v>
      </c>
      <c r="D7" s="3" t="s">
        <v>229</v>
      </c>
      <c r="E7" s="3" t="s">
        <v>230</v>
      </c>
      <c r="F7" s="3" t="s">
        <v>231</v>
      </c>
      <c r="G7" s="3" t="s">
        <v>232</v>
      </c>
      <c r="H7" s="3" t="s">
        <v>233</v>
      </c>
      <c r="I7" s="3" t="s">
        <v>226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E78"/>
  </sheetPr>
  <dimension ref="A2:H8"/>
  <sheetViews>
    <sheetView showGridLines="0" workbookViewId="0"/>
  </sheetViews>
  <sheetFormatPr defaultRowHeight="14.25"/>
  <cols>
    <col min="1" max="1" width="21" style="4" customWidth="1"/>
    <col min="2" max="5" width="18" customWidth="1"/>
    <col min="6" max="6" width="54" style="4" customWidth="1"/>
    <col min="7" max="16384" width="9" style="4"/>
  </cols>
  <sheetData>
    <row r="2" spans="1:8" ht="27.95" customHeight="1">
      <c r="A2" s="41" t="s">
        <v>234</v>
      </c>
      <c r="B2" s="41"/>
      <c r="C2" s="41"/>
      <c r="D2" s="41"/>
      <c r="E2" s="41"/>
      <c r="F2" s="41"/>
      <c r="G2" s="41"/>
      <c r="H2" s="41"/>
    </row>
    <row r="3" spans="1:8">
      <c r="A3" s="7"/>
      <c r="B3" s="7"/>
      <c r="C3" s="7"/>
      <c r="D3" s="7"/>
      <c r="E3" s="7"/>
      <c r="F3" s="7"/>
      <c r="G3" s="7"/>
      <c r="H3" s="7"/>
    </row>
    <row r="4" spans="1:8">
      <c r="A4" s="5"/>
      <c r="B4" s="5"/>
      <c r="C4" s="5"/>
      <c r="D4" s="5"/>
      <c r="E4" s="5"/>
      <c r="F4" s="5"/>
      <c r="G4" s="5"/>
      <c r="H4" s="5"/>
    </row>
    <row r="5" spans="1:8" ht="32.1" customHeight="1">
      <c r="A5" s="8" t="s">
        <v>235</v>
      </c>
      <c r="B5" s="8" t="s">
        <v>236</v>
      </c>
      <c r="C5" s="8" t="s">
        <v>237</v>
      </c>
      <c r="D5" s="8" t="s">
        <v>135</v>
      </c>
      <c r="E5" s="8" t="s">
        <v>238</v>
      </c>
      <c r="F5" s="8" t="s">
        <v>239</v>
      </c>
      <c r="G5" s="5"/>
      <c r="H5" s="5"/>
    </row>
    <row r="6" spans="1:8" ht="27.95" customHeight="1">
      <c r="A6" s="11" t="s">
        <v>140</v>
      </c>
      <c r="B6" s="34">
        <f>COUNTIF(Session_Reports!$C$5:$C$15,A6)-COUNTIFS(Session_Reports!$C$5:$C$15,A6,Session_Reports!$O$5:$O$15,"Chưa chạy")</f>
        <v>10</v>
      </c>
      <c r="C6" s="34">
        <f>SUMIF(Session_Reports!$C$5:$C$15,A6,Session_Reports!$G$5:$G$15)</f>
        <v>15</v>
      </c>
      <c r="D6" s="34">
        <f>SUMIF(Session_Reports!$C$5:$C$15,A6,Session_Reports!$M$5:$M$15)</f>
        <v>3</v>
      </c>
      <c r="E6" s="34">
        <f>IF(C6=0,"Chưa có dữ liệu",D6/C6*60)</f>
        <v>12</v>
      </c>
      <c r="F6" s="9" t="s">
        <v>240</v>
      </c>
      <c r="G6" s="5"/>
      <c r="H6" s="5"/>
    </row>
    <row r="7" spans="1:8" ht="27.95" customHeight="1">
      <c r="A7" s="12" t="s">
        <v>199</v>
      </c>
      <c r="B7" s="20">
        <f>COUNTIF(Session_Reports!$C$5:$C$15,A7)-COUNTIFS(Session_Reports!$C$5:$C$15,A7,Session_Reports!$O$5:$O$15,"Chưa chạy")</f>
        <v>1</v>
      </c>
      <c r="C7" s="20">
        <f>SUMIF(Session_Reports!$C$5:$C$15,A7,Session_Reports!$G$5:$G$15)</f>
        <v>2</v>
      </c>
      <c r="D7" s="20">
        <f>SUMIF(Session_Reports!$C$5:$C$15,A7,Session_Reports!$M$5:$M$15)</f>
        <v>0</v>
      </c>
      <c r="E7" s="20">
        <f>IF(C7=0,"Chưa có dữ liệu",D7/C7*60)</f>
        <v>0</v>
      </c>
      <c r="F7" s="10" t="s">
        <v>241</v>
      </c>
      <c r="G7" s="5"/>
      <c r="H7" s="5"/>
    </row>
    <row r="8" spans="1:8" ht="27.95" customHeight="1">
      <c r="A8" s="14" t="s">
        <v>137</v>
      </c>
      <c r="B8" s="35"/>
      <c r="C8" s="35"/>
      <c r="D8" s="35"/>
      <c r="E8" s="35"/>
      <c r="F8" s="33" t="s">
        <v>242</v>
      </c>
      <c r="G8" s="5"/>
      <c r="H8" s="5"/>
    </row>
  </sheetData>
  <mergeCells count="1">
    <mergeCell ref="A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AD47"/>
  </sheetPr>
  <dimension ref="A2:H14"/>
  <sheetViews>
    <sheetView showGridLines="0" workbookViewId="0">
      <selection activeCell="C21" sqref="C21"/>
    </sheetView>
  </sheetViews>
  <sheetFormatPr defaultRowHeight="14.25"/>
  <cols>
    <col min="1" max="1" width="54" style="4" customWidth="1"/>
    <col min="2" max="2" width="66" style="4" customWidth="1"/>
    <col min="3" max="16384" width="9" style="4"/>
  </cols>
  <sheetData>
    <row r="2" spans="1:8" ht="27.95" customHeight="1">
      <c r="A2" s="41" t="s">
        <v>243</v>
      </c>
      <c r="B2" s="41"/>
      <c r="C2" s="41"/>
      <c r="D2" s="41"/>
      <c r="E2" s="41"/>
      <c r="F2" s="41"/>
      <c r="G2" s="41"/>
      <c r="H2" s="41"/>
    </row>
    <row r="3" spans="1:8">
      <c r="A3" s="36" t="s">
        <v>244</v>
      </c>
      <c r="B3" s="36"/>
      <c r="C3" s="7"/>
      <c r="D3" s="7"/>
      <c r="E3" s="7"/>
      <c r="F3" s="7"/>
      <c r="G3" s="7"/>
      <c r="H3" s="7"/>
    </row>
    <row r="4" spans="1:8">
      <c r="A4" s="5"/>
      <c r="B4" s="5"/>
      <c r="C4" s="5"/>
      <c r="D4" s="5"/>
      <c r="E4" s="5"/>
      <c r="F4" s="5"/>
      <c r="G4" s="5"/>
      <c r="H4" s="5"/>
    </row>
    <row r="5" spans="1:8" ht="32.1" customHeight="1">
      <c r="A5" s="8" t="s">
        <v>245</v>
      </c>
      <c r="B5" s="8" t="s">
        <v>246</v>
      </c>
      <c r="C5" s="5"/>
      <c r="D5" s="5"/>
      <c r="E5" s="5"/>
      <c r="F5" s="5"/>
      <c r="G5" s="5"/>
      <c r="H5" s="5"/>
    </row>
    <row r="6" spans="1:8" ht="38.1" customHeight="1">
      <c r="A6" s="13" t="s">
        <v>247</v>
      </c>
      <c r="B6" s="37" t="s">
        <v>248</v>
      </c>
      <c r="C6" s="5"/>
      <c r="D6" s="5"/>
      <c r="E6" s="5"/>
      <c r="F6" s="5"/>
      <c r="G6" s="5"/>
      <c r="H6" s="5"/>
    </row>
    <row r="7" spans="1:8" ht="38.1" customHeight="1">
      <c r="A7" s="14" t="s">
        <v>249</v>
      </c>
      <c r="B7" s="22" t="s">
        <v>250</v>
      </c>
      <c r="C7" s="5"/>
      <c r="D7" s="5"/>
      <c r="E7" s="5"/>
      <c r="F7" s="5"/>
      <c r="G7" s="5"/>
      <c r="H7" s="5"/>
    </row>
    <row r="8" spans="1:8" ht="38.1" customHeight="1">
      <c r="A8" s="14" t="s">
        <v>251</v>
      </c>
      <c r="B8" s="22" t="s">
        <v>252</v>
      </c>
      <c r="C8" s="5"/>
      <c r="D8" s="5"/>
      <c r="E8" s="5"/>
      <c r="F8" s="5"/>
      <c r="G8" s="5"/>
      <c r="H8" s="5"/>
    </row>
    <row r="9" spans="1:8" ht="38.1" customHeight="1">
      <c r="A9" s="14" t="s">
        <v>253</v>
      </c>
      <c r="B9" s="22" t="s">
        <v>254</v>
      </c>
      <c r="C9" s="5"/>
      <c r="D9" s="5"/>
      <c r="E9" s="5"/>
      <c r="F9" s="5"/>
      <c r="G9" s="5"/>
      <c r="H9" s="5"/>
    </row>
    <row r="10" spans="1:8" ht="38.1" customHeight="1">
      <c r="A10" s="14" t="s">
        <v>255</v>
      </c>
      <c r="B10" s="22" t="s">
        <v>256</v>
      </c>
      <c r="C10" s="5"/>
      <c r="D10" s="5"/>
      <c r="E10" s="5"/>
      <c r="F10" s="5"/>
      <c r="G10" s="5"/>
      <c r="H10" s="5"/>
    </row>
    <row r="11" spans="1:8" ht="38.1" customHeight="1">
      <c r="A11" s="14" t="s">
        <v>257</v>
      </c>
      <c r="B11" s="22" t="s">
        <v>258</v>
      </c>
      <c r="C11" s="5"/>
      <c r="D11" s="5"/>
      <c r="E11" s="5"/>
      <c r="F11" s="5"/>
      <c r="G11" s="5"/>
      <c r="H11" s="5"/>
    </row>
    <row r="12" spans="1:8" ht="38.1" customHeight="1">
      <c r="A12" s="14" t="s">
        <v>259</v>
      </c>
      <c r="B12" s="22" t="s">
        <v>260</v>
      </c>
      <c r="C12" s="5"/>
      <c r="D12" s="5"/>
      <c r="E12" s="5"/>
      <c r="F12" s="5"/>
      <c r="G12" s="5"/>
      <c r="H12" s="5"/>
    </row>
    <row r="13" spans="1:8" ht="38.1" customHeight="1">
      <c r="A13" s="14" t="s">
        <v>261</v>
      </c>
      <c r="B13" s="22" t="s">
        <v>262</v>
      </c>
      <c r="C13" s="5"/>
      <c r="D13" s="5"/>
      <c r="E13" s="5"/>
      <c r="F13" s="5"/>
      <c r="G13" s="5"/>
      <c r="H13" s="5"/>
    </row>
    <row r="14" spans="1:8" ht="38.1" customHeight="1">
      <c r="A14" s="14" t="s">
        <v>263</v>
      </c>
      <c r="B14" s="22" t="s">
        <v>264</v>
      </c>
      <c r="C14" s="5"/>
      <c r="D14" s="5"/>
      <c r="E14" s="5"/>
      <c r="F14" s="5"/>
      <c r="G14" s="5"/>
      <c r="H14" s="5"/>
    </row>
  </sheetData>
  <mergeCells count="1">
    <mergeCell ref="A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5A5A5"/>
  </sheetPr>
  <dimension ref="A2:H15"/>
  <sheetViews>
    <sheetView showGridLines="0" workbookViewId="0"/>
  </sheetViews>
  <sheetFormatPr defaultRowHeight="14.25"/>
  <cols>
    <col min="1" max="1" width="31" style="4" customWidth="1"/>
    <col min="2" max="2" width="88" style="4" customWidth="1"/>
    <col min="3" max="16384" width="9" style="4"/>
  </cols>
  <sheetData>
    <row r="2" spans="1:8" ht="27.95" customHeight="1">
      <c r="A2" s="41" t="s">
        <v>265</v>
      </c>
      <c r="B2" s="41"/>
      <c r="C2" s="41"/>
      <c r="D2" s="41"/>
      <c r="E2" s="41"/>
      <c r="F2" s="41"/>
      <c r="G2" s="41"/>
      <c r="H2" s="41"/>
    </row>
    <row r="3" spans="1:8" ht="37.5" customHeight="1">
      <c r="A3" s="7"/>
      <c r="B3" s="7"/>
      <c r="C3" s="7"/>
      <c r="D3" s="7"/>
      <c r="E3" s="7"/>
      <c r="F3" s="7"/>
      <c r="G3" s="7"/>
      <c r="H3" s="7"/>
    </row>
    <row r="4" spans="1:8" ht="37.5" customHeight="1">
      <c r="A4" s="5"/>
      <c r="B4" s="5"/>
      <c r="C4" s="5"/>
      <c r="D4" s="5"/>
      <c r="E4" s="5"/>
      <c r="F4" s="5"/>
      <c r="G4" s="5"/>
      <c r="H4" s="5"/>
    </row>
    <row r="5" spans="1:8" ht="32.1" customHeight="1">
      <c r="A5" s="8" t="s">
        <v>1</v>
      </c>
      <c r="B5" s="8" t="s">
        <v>2</v>
      </c>
      <c r="C5" s="5"/>
      <c r="D5" s="5"/>
      <c r="E5" s="5"/>
      <c r="F5" s="5"/>
      <c r="G5" s="5"/>
      <c r="H5" s="5"/>
    </row>
    <row r="6" spans="1:8" ht="33.950000000000003" customHeight="1">
      <c r="A6" s="13" t="s">
        <v>266</v>
      </c>
      <c r="B6" s="9" t="s">
        <v>267</v>
      </c>
      <c r="C6" s="5"/>
      <c r="D6" s="5"/>
      <c r="E6" s="5"/>
      <c r="F6" s="5"/>
      <c r="G6" s="5"/>
      <c r="H6" s="5"/>
    </row>
    <row r="7" spans="1:8" ht="33.950000000000003" customHeight="1">
      <c r="A7" s="14" t="s">
        <v>268</v>
      </c>
      <c r="B7" s="10" t="s">
        <v>269</v>
      </c>
      <c r="C7" s="5"/>
      <c r="D7" s="5"/>
      <c r="E7" s="5"/>
      <c r="F7" s="5"/>
      <c r="G7" s="5"/>
      <c r="H7" s="5"/>
    </row>
    <row r="8" spans="1:8" ht="33.950000000000003" customHeight="1">
      <c r="A8" s="14" t="s">
        <v>270</v>
      </c>
      <c r="B8" s="10" t="s">
        <v>271</v>
      </c>
      <c r="C8" s="5"/>
      <c r="D8" s="5"/>
      <c r="E8" s="5"/>
      <c r="F8" s="5"/>
      <c r="G8" s="5"/>
      <c r="H8" s="5"/>
    </row>
    <row r="9" spans="1:8" ht="33.950000000000003" customHeight="1">
      <c r="A9" s="14" t="s">
        <v>272</v>
      </c>
      <c r="B9" s="10" t="s">
        <v>273</v>
      </c>
      <c r="C9" s="5"/>
      <c r="D9" s="5"/>
      <c r="E9" s="5"/>
      <c r="F9" s="5"/>
      <c r="G9" s="5"/>
      <c r="H9" s="5"/>
    </row>
    <row r="10" spans="1:8" ht="33.950000000000003" customHeight="1">
      <c r="A10" s="14" t="s">
        <v>274</v>
      </c>
      <c r="B10" s="22" t="s">
        <v>275</v>
      </c>
      <c r="C10" s="5"/>
      <c r="D10" s="5"/>
      <c r="E10" s="5"/>
      <c r="F10" s="5"/>
      <c r="G10" s="5"/>
      <c r="H10" s="5"/>
    </row>
    <row r="11" spans="1:8" ht="33.950000000000003" customHeight="1">
      <c r="A11" s="14" t="s">
        <v>276</v>
      </c>
      <c r="B11" s="22" t="s">
        <v>277</v>
      </c>
      <c r="C11" s="5"/>
      <c r="D11" s="5"/>
      <c r="E11" s="5"/>
      <c r="F11" s="5"/>
      <c r="G11" s="5"/>
      <c r="H11" s="5"/>
    </row>
    <row r="12" spans="1:8" ht="33.950000000000003" customHeight="1">
      <c r="A12" s="14" t="s">
        <v>278</v>
      </c>
      <c r="B12" s="22" t="s">
        <v>279</v>
      </c>
      <c r="C12" s="5"/>
      <c r="D12" s="5"/>
      <c r="E12" s="5"/>
      <c r="F12" s="5"/>
      <c r="G12" s="5"/>
      <c r="H12" s="5"/>
    </row>
    <row r="13" spans="1:8" ht="51.95" customHeight="1">
      <c r="A13" s="14" t="s">
        <v>280</v>
      </c>
      <c r="B13" s="10" t="s">
        <v>281</v>
      </c>
      <c r="C13" s="5"/>
      <c r="D13" s="5"/>
      <c r="E13" s="5"/>
      <c r="F13" s="5"/>
      <c r="G13" s="5"/>
      <c r="H13" s="5"/>
    </row>
    <row r="14" spans="1:8" ht="51.95" customHeight="1">
      <c r="A14" s="14" t="s">
        <v>282</v>
      </c>
      <c r="B14" s="10" t="s">
        <v>283</v>
      </c>
      <c r="C14" s="5"/>
      <c r="D14" s="5"/>
      <c r="E14" s="5"/>
      <c r="F14" s="5"/>
      <c r="G14" s="5"/>
      <c r="H14" s="5"/>
    </row>
    <row r="15" spans="1:8" ht="33.950000000000003" customHeight="1">
      <c r="A15" s="14" t="s">
        <v>27</v>
      </c>
      <c r="B15" s="10" t="s">
        <v>284</v>
      </c>
      <c r="C15" s="5"/>
      <c r="D15" s="5"/>
      <c r="E15" s="5"/>
      <c r="F15" s="5"/>
      <c r="G15" s="5"/>
      <c r="H15" s="5"/>
    </row>
  </sheetData>
  <mergeCells count="1">
    <mergeCell ref="A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A5A5"/>
  </sheetPr>
  <dimension ref="A2:F14"/>
  <sheetViews>
    <sheetView showGridLines="0" tabSelected="1" workbookViewId="0">
      <pane xSplit="1" ySplit="4" topLeftCell="B8" activePane="bottomRight" state="frozen"/>
      <selection pane="topRight"/>
      <selection pane="bottomLeft"/>
      <selection pane="bottomRight" activeCell="G15" sqref="G15"/>
    </sheetView>
  </sheetViews>
  <sheetFormatPr defaultRowHeight="14.25"/>
  <cols>
    <col min="1" max="1" width="10" style="4" customWidth="1"/>
    <col min="2" max="2" width="38" style="4" customWidth="1"/>
    <col min="3" max="3" width="27" style="4" customWidth="1"/>
    <col min="4" max="4" width="30" style="4" customWidth="1"/>
    <col min="5" max="5" width="47" style="4" customWidth="1"/>
    <col min="6" max="6" width="18" style="4" customWidth="1"/>
    <col min="7" max="16384" width="9" style="4"/>
  </cols>
  <sheetData>
    <row r="2" spans="1:6" ht="27.95" customHeight="1">
      <c r="A2" s="41" t="s">
        <v>285</v>
      </c>
      <c r="B2" s="41"/>
      <c r="C2" s="41"/>
      <c r="D2" s="41"/>
      <c r="E2" s="41"/>
      <c r="F2" s="41"/>
    </row>
    <row r="3" spans="1:6">
      <c r="A3" s="7"/>
      <c r="B3" s="7"/>
      <c r="C3" s="7"/>
      <c r="D3" s="7"/>
      <c r="E3" s="7"/>
      <c r="F3" s="7"/>
    </row>
    <row r="4" spans="1:6" ht="32.1" customHeight="1">
      <c r="A4" s="8" t="s">
        <v>286</v>
      </c>
      <c r="B4" s="8" t="s">
        <v>287</v>
      </c>
      <c r="C4" s="8" t="s">
        <v>288</v>
      </c>
      <c r="D4" s="8" t="s">
        <v>289</v>
      </c>
      <c r="E4" s="8" t="s">
        <v>290</v>
      </c>
      <c r="F4" s="8" t="s">
        <v>207</v>
      </c>
    </row>
    <row r="5" spans="1:6" ht="44.1" customHeight="1">
      <c r="A5" s="38">
        <v>1</v>
      </c>
      <c r="B5" s="15" t="s">
        <v>291</v>
      </c>
      <c r="C5" s="15" t="s">
        <v>292</v>
      </c>
      <c r="D5" s="15" t="s">
        <v>293</v>
      </c>
      <c r="E5" s="15" t="s">
        <v>294</v>
      </c>
      <c r="F5" s="15" t="s">
        <v>295</v>
      </c>
    </row>
    <row r="6" spans="1:6" ht="44.1" customHeight="1">
      <c r="A6" s="39">
        <v>2</v>
      </c>
      <c r="B6" s="10" t="s">
        <v>296</v>
      </c>
      <c r="C6" s="10" t="s">
        <v>297</v>
      </c>
      <c r="D6" s="10" t="s">
        <v>298</v>
      </c>
      <c r="E6" s="10" t="s">
        <v>299</v>
      </c>
      <c r="F6" s="10" t="s">
        <v>300</v>
      </c>
    </row>
    <row r="7" spans="1:6" ht="44.1" customHeight="1">
      <c r="A7" s="40">
        <v>3</v>
      </c>
      <c r="B7" s="16" t="s">
        <v>301</v>
      </c>
      <c r="C7" s="16" t="s">
        <v>302</v>
      </c>
      <c r="D7" s="16" t="s">
        <v>303</v>
      </c>
      <c r="E7" s="16" t="s">
        <v>304</v>
      </c>
      <c r="F7" s="16" t="s">
        <v>305</v>
      </c>
    </row>
    <row r="8" spans="1:6" ht="44.1" customHeight="1">
      <c r="A8" s="39">
        <v>4</v>
      </c>
      <c r="B8" s="10" t="s">
        <v>306</v>
      </c>
      <c r="C8" s="10" t="s">
        <v>307</v>
      </c>
      <c r="D8" s="10" t="s">
        <v>308</v>
      </c>
      <c r="E8" s="10" t="s">
        <v>309</v>
      </c>
      <c r="F8" s="10" t="s">
        <v>310</v>
      </c>
    </row>
    <row r="9" spans="1:6" ht="44.1" customHeight="1">
      <c r="A9" s="40">
        <v>5</v>
      </c>
      <c r="B9" s="16" t="s">
        <v>311</v>
      </c>
      <c r="C9" s="16" t="s">
        <v>312</v>
      </c>
      <c r="D9" s="16" t="s">
        <v>313</v>
      </c>
      <c r="E9" s="16" t="s">
        <v>314</v>
      </c>
      <c r="F9" s="16" t="s">
        <v>70</v>
      </c>
    </row>
    <row r="10" spans="1:6" ht="44.1" customHeight="1">
      <c r="A10" s="39">
        <v>6</v>
      </c>
      <c r="B10" s="10" t="s">
        <v>315</v>
      </c>
      <c r="C10" s="10" t="s">
        <v>316</v>
      </c>
      <c r="D10" s="10" t="s">
        <v>317</v>
      </c>
      <c r="E10" s="10" t="s">
        <v>318</v>
      </c>
      <c r="F10" s="10" t="s">
        <v>319</v>
      </c>
    </row>
    <row r="11" spans="1:6" ht="44.1" customHeight="1">
      <c r="A11" s="40">
        <v>7</v>
      </c>
      <c r="B11" s="16" t="s">
        <v>320</v>
      </c>
      <c r="C11" s="16" t="s">
        <v>321</v>
      </c>
      <c r="D11" s="16" t="s">
        <v>322</v>
      </c>
      <c r="E11" s="16" t="s">
        <v>323</v>
      </c>
      <c r="F11" s="16" t="s">
        <v>324</v>
      </c>
    </row>
    <row r="12" spans="1:6" ht="44.1" customHeight="1">
      <c r="A12" s="39">
        <v>8</v>
      </c>
      <c r="B12" s="10" t="s">
        <v>325</v>
      </c>
      <c r="C12" s="10" t="s">
        <v>326</v>
      </c>
      <c r="D12" s="10" t="s">
        <v>327</v>
      </c>
      <c r="E12" s="10" t="s">
        <v>328</v>
      </c>
      <c r="F12" s="10" t="s">
        <v>54</v>
      </c>
    </row>
    <row r="13" spans="1:6" ht="44.1" customHeight="1">
      <c r="A13" s="40">
        <v>9</v>
      </c>
      <c r="B13" s="16" t="s">
        <v>329</v>
      </c>
      <c r="C13" s="16" t="s">
        <v>330</v>
      </c>
      <c r="D13" s="16" t="s">
        <v>331</v>
      </c>
      <c r="E13" s="16" t="s">
        <v>332</v>
      </c>
      <c r="F13" s="16" t="s">
        <v>102</v>
      </c>
    </row>
    <row r="14" spans="1:6" ht="44.1" customHeight="1">
      <c r="A14" s="39">
        <v>10</v>
      </c>
      <c r="B14" s="10" t="s">
        <v>333</v>
      </c>
      <c r="C14" s="10" t="s">
        <v>334</v>
      </c>
      <c r="D14" s="10" t="s">
        <v>335</v>
      </c>
      <c r="E14" s="10" t="s">
        <v>336</v>
      </c>
      <c r="F14" s="10" t="s">
        <v>113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Tong_quan</vt:lpstr>
      <vt:lpstr>10_Charters</vt:lpstr>
      <vt:lpstr>Charter_thu_cong</vt:lpstr>
      <vt:lpstr>Session_Reports</vt:lpstr>
      <vt:lpstr>Bug_Hop_Le</vt:lpstr>
      <vt:lpstr>Bug_Yield</vt:lpstr>
      <vt:lpstr>Lessons_Learned</vt:lpstr>
      <vt:lpstr>AI_WORKLOG</vt:lpstr>
      <vt:lpstr>Risk_Map_Ngay23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2026-10-10T07:35:08Z</dcterms:modified>
</cp:coreProperties>
</file>