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thuctap\Day12_Quiz_Validator_Tran_Quoc_Nguyen\"/>
    </mc:Choice>
  </mc:AlternateContent>
  <xr:revisionPtr revIDLastSave="0" documentId="13_ncr:1_{A628E791-EF0E-473A-8CBD-926384075ADB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00_BAT_DAU" sheetId="1" r:id="rId1"/>
    <sheet name="01_Rule_Catalog" sheetId="2" r:id="rId2"/>
    <sheet name="02_Fixture_Bank" sheetId="3" r:id="rId3"/>
    <sheet name="03_Test_Execution" sheetId="4" r:id="rId4"/>
    <sheet name="04_Quiz_Finding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</calcChain>
</file>

<file path=xl/sharedStrings.xml><?xml version="1.0" encoding="utf-8"?>
<sst xmlns="http://schemas.openxmlformats.org/spreadsheetml/2006/main" count="783" uniqueCount="492">
  <si>
    <t>NGÀY 12 — Validator đề trắc nghiệm</t>
  </si>
  <si>
    <t>quiz_validator — kiểm tra số đáp án, duplicate, empty, answer key, ambiguity và pattern đáp án trước khi publish</t>
  </si>
  <si>
    <t>A. TỔNG QUAN NGÀY 12</t>
  </si>
  <si>
    <t>Hạng mục</t>
  </si>
  <si>
    <t>Nội dung</t>
  </si>
  <si>
    <t>Người thực hiện</t>
  </si>
  <si>
    <t>Trần Quốc Nguyên</t>
  </si>
  <si>
    <t>Ngày</t>
  </si>
  <si>
    <t>18/09/2026</t>
  </si>
  <si>
    <t>Kế hoạch tham chiếu</t>
  </si>
  <si>
    <t>03_Ke_hoach_30_ngay_Thuc_tap_sinh_QA_AI_Evaluation.docx — Tuần 3, Ngày 12</t>
  </si>
  <si>
    <t>Vị trí repo</t>
  </si>
  <si>
    <t>cybersoft-learning-hub/Test/Day12_Quiz_Validator_Tran_Quoc_Nguyen/</t>
  </si>
  <si>
    <t>B. TÓM TẮT SỐ LIỆU</t>
  </si>
  <si>
    <t>Giá trị</t>
  </si>
  <si>
    <t>Ghi chú</t>
  </si>
  <si>
    <t>Tổng số rule</t>
  </si>
  <si>
    <t>QV001–QV023</t>
  </si>
  <si>
    <t>Rule severity ERROR</t>
  </si>
  <si>
    <t>Lỗi deterministic có thể dùng làm quality gate</t>
  </si>
  <si>
    <t>Rule severity WARNING</t>
  </si>
  <si>
    <t>Tín hiệu cần human review</t>
  </si>
  <si>
    <t>Tổng số fixture</t>
  </si>
  <si>
    <t>Fixture bank FIX-0xx</t>
  </si>
  <si>
    <t>Fixture GOOD</t>
  </si>
  <si>
    <t>Đối chứng không false positive</t>
  </si>
  <si>
    <t>Fixture BAD</t>
  </si>
  <si>
    <t>Cố ý gài lỗi để kiểm rule</t>
  </si>
  <si>
    <t>Tổng số test tự động</t>
  </si>
  <si>
    <t>node --test tests/quiz-validator.test.js</t>
  </si>
  <si>
    <t>Test PASS</t>
  </si>
  <si>
    <t>Test FAIL</t>
  </si>
  <si>
    <t>Finding trên nội dung thật</t>
  </si>
  <si>
    <t>real-content — 30 câu hỏi thật</t>
  </si>
  <si>
    <t>Rule có known false positive</t>
  </si>
  <si>
    <t>Đã ghi rõ để tránh dùng WARNING như phán quyết cứng</t>
  </si>
  <si>
    <t>C. ĐIỀU KIỆN NGHIỆM THU</t>
  </si>
  <si>
    <t>STT</t>
  </si>
  <si>
    <t>Điều kiện</t>
  </si>
  <si>
    <t>Kết quả</t>
  </si>
  <si>
    <t>Bằng chứng / ghi chú</t>
  </si>
  <si>
    <t>Không dùng AI làm nguồn phán quyết duy nhất</t>
  </si>
  <si>
    <t>ĐẠT</t>
  </si>
  <si>
    <t>Rule deterministic/heuristic tách rõ; 3 cột review cuối ở sheet Finding để con người quyết định.</t>
  </si>
  <si>
    <t>Mỗi flag có giải thích</t>
  </si>
  <si>
    <t>23 rule đều có description + hướng sửa; finding có message và Suggested Fix.</t>
  </si>
  <si>
    <t>Known false positive được ghi</t>
  </si>
  <si>
    <t>Xem sheet 06_False_Positive.</t>
  </si>
  <si>
    <t>Ambiguity/Skew pattern chỉ là WARNING</t>
  </si>
  <si>
    <t>Có test riêng khẳng định nhóm này không được là ERROR.</t>
  </si>
  <si>
    <t>D. CÁCH DÙNG FILE</t>
  </si>
  <si>
    <t>Sheet</t>
  </si>
  <si>
    <t>Mục đích / cách dùng</t>
  </si>
  <si>
    <t>01_Rule_Catalog</t>
  </si>
  <si>
    <t>Danh mục 23 rule: mã, severity, nhóm, cấp kiểm tra, mô tả và hướng sửa.</t>
  </si>
  <si>
    <t>02_Fixture_Bank</t>
  </si>
  <si>
    <t>50 fixture GOOD/BAD để chứng minh từng rule bắt đúng và không báo oan.</t>
  </si>
  <si>
    <t>03_Test_Execution</t>
  </si>
  <si>
    <t>Kết quả test tự động của quiz_validator.</t>
  </si>
  <si>
    <t>04_Quiz_Findings</t>
  </si>
  <si>
    <t>Finding trên dữ liệu quiz thật; 3 cột cuối để người review điền tay.</t>
  </si>
  <si>
    <t>05_Answer_Distribution</t>
  </si>
  <si>
    <t>Phân bố A/B/C/D và tín hiệu skew pattern — WARNING, không phải bug xác nhận.</t>
  </si>
  <si>
    <t>06_False_Positive</t>
  </si>
  <si>
    <t>Known false positive/giới hạn của các heuristic rule.</t>
  </si>
  <si>
    <t>07_AI_Worklog</t>
  </si>
  <si>
    <t>AI đề xuất gì, con người kiểm chứng gì, AI sai ở đâu và quyết định cuối.</t>
  </si>
  <si>
    <t>01_Rule_Catalog - 23 rule QV001-QV023 (rules.js)</t>
  </si>
  <si>
    <t>Rule ID</t>
  </si>
  <si>
    <t>Severity</t>
  </si>
  <si>
    <t>Nhóm (Group)</t>
  </si>
  <si>
    <t>Cấp (Level)</t>
  </si>
  <si>
    <t>Mô tả (Description)</t>
  </si>
  <si>
    <t>Hướng sửa (Fix)</t>
  </si>
  <si>
    <t>QV001</t>
  </si>
  <si>
    <t>ERROR</t>
  </si>
  <si>
    <t>Answer count</t>
  </si>
  <si>
    <t>question</t>
  </si>
  <si>
    <t>Thiếu hẳn field "options", hoặc "options" không phải kiểu mảng.</t>
  </si>
  <si>
    <t>Thêm field options (mảng {key, text, isCorrect}) cho câu hỏi.</t>
  </si>
  <si>
    <t>QV002</t>
  </si>
  <si>
    <t>Quá ít lựa chọn (dưới 2 option thì không còn là câu trắc nghiệm hợp lệ).</t>
  </si>
  <si>
    <t>Bổ sung cho đủ tối thiểu 2 lựa chọn.</t>
  </si>
  <si>
    <t>QV003</t>
  </si>
  <si>
    <t>WARNING</t>
  </si>
  <si>
    <t>Quá nhiều lựa chọn (trên 6 option làm câu hỏi khó đọc/khó làm).</t>
  </si>
  <si>
    <t>Rút gọn còn tối đa ~6 lựa chọn, hoặc tách thành nhiều câu hỏi nhỏ hơn.</t>
  </si>
  <si>
    <t>QV004</t>
  </si>
  <si>
    <t>Duplicate</t>
  </si>
  <si>
    <t>Có 2 option trùng nội dung text (so sánh không phân biệt hoa/thường, đã trim) trong cùng 1 câu hỏi.</t>
  </si>
  <si>
    <t>Xoá/sửa lại option trùng - mỗi lựa chọn phải là 1 phương án riêng biệt.</t>
  </si>
  <si>
    <t>QV005</t>
  </si>
  <si>
    <t>Có 2 option trùng "key" (vd 2 lựa chọn cùng ghi là "A") trong cùng 1 câu hỏi.</t>
  </si>
  <si>
    <t>Đặt lại key duy nhất cho từng option (vd A, B, C, D, không lặp).</t>
  </si>
  <si>
    <t>QV006</t>
  </si>
  <si>
    <t>Nội dung câu hỏi (content) trùng với 1 câu hỏi khác đã quét trong cùng lần chạy (đối chiếu toàn bộ corpus, giống cách CT010 đối chiếu chéo ở Ngày 11).</t>
  </si>
  <si>
    <t>Xoá câu hỏi trùng, hoặc viết lại để hỏi khía cạnh khác.</t>
  </si>
  <si>
    <t>QV007</t>
  </si>
  <si>
    <t>Empty</t>
  </si>
  <si>
    <t>Option có text rỗng/trắng.</t>
  </si>
  <si>
    <t>Điền nội dung cho lựa chọn, hoặc xoá option đó nếu không dùng.</t>
  </si>
  <si>
    <t>QV008</t>
  </si>
  <si>
    <t>Nội dung câu hỏi (content) rỗng/trắng.</t>
  </si>
  <si>
    <t>Viết nội dung câu hỏi đầy đủ.</t>
  </si>
  <si>
    <t>QV009</t>
  </si>
  <si>
    <t>Giải thích (explanation) rỗng/trắng.</t>
  </si>
  <si>
    <t>Bổ sung giải thích vì sao đáp án đúng là đúng (và các đáp án khác sai).</t>
  </si>
  <si>
    <t>QV010</t>
  </si>
  <si>
    <t>Answer key</t>
  </si>
  <si>
    <t>Không có option nào được đánh dấu đúng (isCorrect: true) - câu hỏi không có answer key.</t>
  </si>
  <si>
    <t>Đánh dấu đúng 1 (hoặc nhiều, nếu allowMultiple: true) option isCorrect: true.</t>
  </si>
  <si>
    <t>QV011</t>
  </si>
  <si>
    <t>Có nhiều hơn 1 option isCorrect: true trong khi câu hỏi không khai báo allowMultiple: true (mặc định là câu 1 đáp án đúng).</t>
  </si>
  <si>
    <t>Chỉ giữ 1 option isCorrect: true, hoặc thêm allowMultiple: true nếu câu hỏi thật sự cho phép chọn nhiều.</t>
  </si>
  <si>
    <t>QV012</t>
  </si>
  <si>
    <t>Option thiếu "key" hoặc key rỗng.</t>
  </si>
  <si>
    <t>Đặt key ngắn gọn, duy nhất cho option (vd "A", "B", "C"...).</t>
  </si>
  <si>
    <t>QV013</t>
  </si>
  <si>
    <t>Explanation trích dẫn tường minh 1 key (vd `B`) khác với key của option đang isCorrect: true - có thể giải thích nhầm đáp án. CHỈ xét khi explanation có trích key trong dấu backtick/ngoặc kép rõ ràng, để tránh false positive với văn xuôi thường.</t>
  </si>
  <si>
    <t>Đối chiếu lại explanation với đúng option đang isCorrect: true.</t>
  </si>
  <si>
    <t>QV014</t>
  </si>
  <si>
    <t>Ambiguity</t>
  </si>
  <si>
    <t>Có 2 option gần như trùng nhau (chỉ khác dấu câu/khoảng trắng, KHÔNG trùng tuyệt đối - đã bắt riêng bởi QV004) - dễ gây khó hiểu cho người làm bài.</t>
  </si>
  <si>
    <t>Viết rõ ràng để 2 option không na ná nhau, hoặc gộp lại nếu thực chất là 1 phương án.</t>
  </si>
  <si>
    <t>QV015</t>
  </si>
  <si>
    <t>Option dùng mẫu câu kiểu "tất cả đáp án trên" / "all of the above" / "none of the above" - hệ thống XÁO TRỘN thứ tự option mỗi lượt làm bài (seededShuffle trong quiz.service.ts), nên loại option này dễ trở nên vô nghĩa hoặc sai sau khi xáo trộn.</t>
  </si>
  <si>
    <t>Tránh dùng "tất cả/không có đáp án trên" khi hệ thống xáo trộn thứ tự option; liệt kê tường minh các phương án đúng thay vào đó.</t>
  </si>
  <si>
    <t>QV016</t>
  </si>
  <si>
    <t>Text của 1 option là tập con (substring) của text 1 option KHÁC trong cùng câu hỏi - 2 phương án chồng lấn nghĩa, dễ gây tranh cãi đáp án nào đúng hơn.</t>
  </si>
  <si>
    <t>Viết lại để các option loại trừ lẫn nhau rõ ràng, không phương án nào là tập con của phương án khác.</t>
  </si>
  <si>
    <t>QV017</t>
  </si>
  <si>
    <t>Skew pattern</t>
  </si>
  <si>
    <t>file</t>
  </si>
  <si>
    <t>Đáp án đúng LỆCH quá nhiều về 1 vị trí trong cả file (vd luôn là option đầu tiên) - chỉ xét khi file có &gt;= 5 câu single-choice hợp lệ, và báo khi 1 vị trí chiếm &gt; 40% tổng số câu đó. Đây là dấu hiệu người ra đề vô tình tạo pattern đoán được (kể cả khi hệ thống có xáo trộn option, pattern lệch ở NGUỒN vẫn nên được sửa).</t>
  </si>
  <si>
    <t>Phân bố lại vị trí đáp án đúng ngẫu nhiên hơn giữa các câu hỏi trong file.</t>
  </si>
  <si>
    <t>QV018</t>
  </si>
  <si>
    <t>Có &gt;= 4 câu hỏi LIÊN TIẾP (theo đúng thứ tự xuất hiện trong file) cùng có đáp án đúng ở CÙNG 1 vị trí - dễ bị "đoán mẫu" khi làm bài tuần tự (vd đoán luôn đáp án B trong 1 mạch câu hỏi).</t>
  </si>
  <si>
    <t>Xen kẽ lại vị trí đáp án đúng giữa các câu hỏi liên tiếp trong file.</t>
  </si>
  <si>
    <t>QV019</t>
  </si>
  <si>
    <t>Structure</t>
  </si>
  <si>
    <t>Sai kiểu dữ liệu / giá trị không hợp lệ ở field cấu trúc (points không phải number, difficulty không thuộc EASY/MEDIUM/HARD, category thiếu).</t>
  </si>
  <si>
    <t>Sửa lại đúng kiểu dữ liệu / giá trị hợp lệ theo schema thật của BE (xem InitialQuestion trong initial-quiz-questions.ts).</t>
  </si>
  <si>
    <t>QV020</t>
  </si>
  <si>
    <t>Explanation quá ngắn (dưới 15 ký tự) hoặc chứa từ placeholder chưa hoàn thiện (todo, fixme, lorem ipsum...).</t>
  </si>
  <si>
    <t>Viết giải thích đầy đủ, đủ để người học hiểu vì sao đáp án đúng/sai - không để placeholder.</t>
  </si>
  <si>
    <t>QV021</t>
  </si>
  <si>
    <t>Content quality</t>
  </si>
  <si>
    <t>Nội dung câu hỏi quá ngắn/mơ hồ (dưới 5 từ) - có thể thiếu ngữ cảnh để người học hiểu đúng câu hỏi đang hỏi gì. Khác với QV008 (content RỖNG hẳn, severity ERROR): đây là content CÓ NỘI DUNG nhưng quá ngắn để đủ rõ nghĩa.</t>
  </si>
  <si>
    <t>Viết lại câu hỏi đầy đủ ngữ cảnh hơn - nêu rõ chủ đề, tình huống hoặc đoạn code liên quan trước khi hỏi.</t>
  </si>
  <si>
    <t>QV022</t>
  </si>
  <si>
    <t>Câu hỏi GẦN TRÙNG với 1 câu hỏi khác trong cùng lần chạy (Jaccard similarity theo tập từ &gt;= 0.7, nhưng KHÔNG giống hệt - đã bắt riêng bởi QV006). Khác QV006 ở chỗ bắt được cả paraphrase/diễn đạt lại gần giống, không chỉ trùng tuyệt đối.</t>
  </si>
  <si>
    <t>Đối chiếu lại 2 câu hỏi - nếu thực chất hỏi cùng 1 ý, xoá bớt hoặc viết lại để khác biệt rõ ràng hơn (đổi góc nhìn, đổi ví dụ/đoạn code).</t>
  </si>
  <si>
    <t>QV023</t>
  </si>
  <si>
    <t>Độ dài option đúng lệch bất thường so với các option sai (&gt;= 1.8x dài hơn hoặc ngắn hơn trung bình các option sai) - thiên kiến ra đề kinh điển: đáp án đúng thường được viết chi tiết/cẩn thận hơn (dài hơn hẳn) các phương án nhiễu, vô tình trở thành "gợi ý" cho người làm bài đoán mò.</t>
  </si>
  <si>
    <t>Viết lại các option sai (distractor) với độ dài tương đương option đúng, tránh để đáp án đúng nổi bật bất thường về độ dài.</t>
  </si>
  <si>
    <t>02_Fixture_Bank - 50 fixture (fixtures-manifest.json)</t>
  </si>
  <si>
    <t>Fixture ID</t>
  </si>
  <si>
    <t>Tên (Name)</t>
  </si>
  <si>
    <t>Đường dẫn (File)</t>
  </si>
  <si>
    <t>Loại (Kind)</t>
  </si>
  <si>
    <t>Rule mục tiêu (Target Rules)</t>
  </si>
  <si>
    <t>Ghi chú (Note)</t>
  </si>
  <si>
    <t>FIX-001</t>
  </si>
  <si>
    <t>valid-options</t>
  </si>
  <si>
    <t>good/valid-options.json</t>
  </si>
  <si>
    <t>good</t>
  </si>
  <si>
    <t>Có field options hợp lệ.</t>
  </si>
  <si>
    <t>FIX-002</t>
  </si>
  <si>
    <t>missing-options</t>
  </si>
  <si>
    <t>bad/missing-options.json</t>
  </si>
  <si>
    <t>bad</t>
  </si>
  <si>
    <t>Thiếu hẳn field options.</t>
  </si>
  <si>
    <t>FIX-003</t>
  </si>
  <si>
    <t>minimum-two-options</t>
  </si>
  <si>
    <t>good/minimum-two-options.json</t>
  </si>
  <si>
    <t>Đúng 2 option (biên dưới hợp lệ).</t>
  </si>
  <si>
    <t>FIX-004</t>
  </si>
  <si>
    <t>too-few-options</t>
  </si>
  <si>
    <t>bad/too-few-options.json</t>
  </si>
  <si>
    <t>Chỉ có 1 option.</t>
  </si>
  <si>
    <t>FIX-005</t>
  </si>
  <si>
    <t>six-options-ok</t>
  </si>
  <si>
    <t>good/six-options-ok.json</t>
  </si>
  <si>
    <t>Đúng 6 option (biên trên hợp lệ).</t>
  </si>
  <si>
    <t>FIX-006</t>
  </si>
  <si>
    <t>too-many-options</t>
  </si>
  <si>
    <t>bad/too-many-options.json</t>
  </si>
  <si>
    <t>7 option, vượt ngưỡng khuyến nghị 6.</t>
  </si>
  <si>
    <t>FIX-007</t>
  </si>
  <si>
    <t>distinct-option-text</t>
  </si>
  <si>
    <t>good/distinct-option-text.json</t>
  </si>
  <si>
    <t>Text các option khác nhau thật sự, không chồng lấn substring.</t>
  </si>
  <si>
    <t>FIX-008</t>
  </si>
  <si>
    <t>duplicate-option-text</t>
  </si>
  <si>
    <t>bad/duplicate-option-text.json</t>
  </si>
  <si>
    <t>2 option trùng text (khác hoa/thường).</t>
  </si>
  <si>
    <t>FIX-009</t>
  </si>
  <si>
    <t>unique-option-keys</t>
  </si>
  <si>
    <t>good/unique-option-keys.json</t>
  </si>
  <si>
    <t>Key A/B/C không trùng.</t>
  </si>
  <si>
    <t>FIX-010</t>
  </si>
  <si>
    <t>duplicate-option-key</t>
  </si>
  <si>
    <t>bad/duplicate-option-key.json</t>
  </si>
  <si>
    <t>2 option cùng key "A".</t>
  </si>
  <si>
    <t>FIX-011</t>
  </si>
  <si>
    <t>distinct-questions</t>
  </si>
  <si>
    <t>good/distinct-questions.json</t>
  </si>
  <si>
    <t>2 câu hỏi khác nội dung thật sự.</t>
  </si>
  <si>
    <t>FIX-012</t>
  </si>
  <si>
    <t>duplicate-question</t>
  </si>
  <si>
    <t>bad/duplicate-question.json</t>
  </si>
  <si>
    <t>2 câu hỏi trùng nội dung y hệt.</t>
  </si>
  <si>
    <t>FIX-013</t>
  </si>
  <si>
    <t>non-empty-option-text</t>
  </si>
  <si>
    <t>good/non-empty-option-text.json</t>
  </si>
  <si>
    <t>Mọi option đều có text.</t>
  </si>
  <si>
    <t>FIX-014</t>
  </si>
  <si>
    <t>empty-option-text</t>
  </si>
  <si>
    <t>bad/empty-option-text.json</t>
  </si>
  <si>
    <t>Option A bị bỏ trống text.</t>
  </si>
  <si>
    <t>FIX-015</t>
  </si>
  <si>
    <t>non-empty-question</t>
  </si>
  <si>
    <t>good/non-empty-question.json</t>
  </si>
  <si>
    <t>Content không rỗng.</t>
  </si>
  <si>
    <t>FIX-016</t>
  </si>
  <si>
    <t>empty-question</t>
  </si>
  <si>
    <t>bad/empty-question.json</t>
  </si>
  <si>
    <t>Content là chuỗi rỗng.</t>
  </si>
  <si>
    <t>FIX-017</t>
  </si>
  <si>
    <t>non-empty-explanation</t>
  </si>
  <si>
    <t>good/non-empty-explanation.json</t>
  </si>
  <si>
    <t>Explanation không rỗng.</t>
  </si>
  <si>
    <t>FIX-018</t>
  </si>
  <si>
    <t>empty-explanation</t>
  </si>
  <si>
    <t>bad/empty-explanation.json</t>
  </si>
  <si>
    <t>Explanation là chuỗi rỗng.</t>
  </si>
  <si>
    <t>FIX-019</t>
  </si>
  <si>
    <t>has-correct-answer</t>
  </si>
  <si>
    <t>good/has-correct-answer.json</t>
  </si>
  <si>
    <t>Có đúng 1 option isCorrect: true.</t>
  </si>
  <si>
    <t>FIX-020</t>
  </si>
  <si>
    <t>no-correct-answer</t>
  </si>
  <si>
    <t>bad/no-correct-answer.json</t>
  </si>
  <si>
    <t>Không option nào isCorrect: true.</t>
  </si>
  <si>
    <t>FIX-021</t>
  </si>
  <si>
    <t>multiple-correct-with-flag</t>
  </si>
  <si>
    <t>good/multiple-correct-with-flag.json</t>
  </si>
  <si>
    <t>2 option đúng NHƯNG có khai báo allowMultiple: true - hợp lệ.</t>
  </si>
  <si>
    <t>FIX-022</t>
  </si>
  <si>
    <t>two-correct-answers</t>
  </si>
  <si>
    <t>bad/two-correct-answers.json</t>
  </si>
  <si>
    <t>2 option đúng nhưng KHÔNG khai báo allowMultiple.</t>
  </si>
  <si>
    <t>FIX-023</t>
  </si>
  <si>
    <t>all-options-have-keys</t>
  </si>
  <si>
    <t>good/all-options-have-keys.json</t>
  </si>
  <si>
    <t>Mọi option đều có key.</t>
  </si>
  <si>
    <t>FIX-024</t>
  </si>
  <si>
    <t>option-missing-key</t>
  </si>
  <si>
    <t>bad/option-missing-key.json</t>
  </si>
  <si>
    <t>Option A thiếu key.</t>
  </si>
  <si>
    <t>FIX-025</t>
  </si>
  <si>
    <t>explanation-correct-key</t>
  </si>
  <si>
    <t>good/explanation-correct-key.json</t>
  </si>
  <si>
    <t>Explanation trích dẫn ĐÚNG key của option isCorrect.</t>
  </si>
  <si>
    <t>FIX-026</t>
  </si>
  <si>
    <t>explanation-wrong-key</t>
  </si>
  <si>
    <t>bad/explanation-wrong-key.json</t>
  </si>
  <si>
    <t>Explanation trích dẫn key `C` nhưng option đúng là B.</t>
  </si>
  <si>
    <t>FIX-027</t>
  </si>
  <si>
    <t>technically-distinct-options</t>
  </si>
  <si>
    <t>good/technically-distinct-options.json</t>
  </si>
  <si>
    <t>Các option khác nhau thật sự về nội dung kỹ thuật (không chỉ dấu câu).</t>
  </si>
  <si>
    <t>FIX-028</t>
  </si>
  <si>
    <t>near-duplicate-option</t>
  </si>
  <si>
    <t>bad/near-duplicate-option.json</t>
  </si>
  <si>
    <t>Option B chỉ khác option A ở dấu câu/khoảng trắng.</t>
  </si>
  <si>
    <t>FIX-029</t>
  </si>
  <si>
    <t>no-all-of-the-above</t>
  </si>
  <si>
    <t>good/no-all-of-the-above.json</t>
  </si>
  <si>
    <t>Không dùng mẫu câu "tất cả/không có đáp án trên".</t>
  </si>
  <si>
    <t>FIX-030</t>
  </si>
  <si>
    <t>all-of-the-above</t>
  </si>
  <si>
    <t>bad/all-of-the-above.json</t>
  </si>
  <si>
    <t>Option D dùng mẫu câu "tất cả các đáp án trên".</t>
  </si>
  <si>
    <t>FIX-031</t>
  </si>
  <si>
    <t>no-substring-overlap</t>
  </si>
  <si>
    <t>good/no-substring-overlap.json</t>
  </si>
  <si>
    <t>Không option nào là tập con của option khác.</t>
  </si>
  <si>
    <t>FIX-032</t>
  </si>
  <si>
    <t>option-substring-overlap</t>
  </si>
  <si>
    <t>bad/option-substring-overlap.json</t>
  </si>
  <si>
    <t>Option A "aria-expanded" là substring của option B "aria-expanded-state".</t>
  </si>
  <si>
    <t>FIX-033</t>
  </si>
  <si>
    <t>balanced-answer-position</t>
  </si>
  <si>
    <t>good/balanced-answer-position.json</t>
  </si>
  <si>
    <t>Vị trí đáp án đúng rải đều, không vị trí nào &gt; 40%.</t>
  </si>
  <si>
    <t>FIX-034</t>
  </si>
  <si>
    <t>skewed-answer-position</t>
  </si>
  <si>
    <t>bad/skewed-answer-position.json</t>
  </si>
  <si>
    <t>Vị trí 0 chiếm 75% tổng số câu (lệch), không có chuỗi liên tiếp dài để tách riêng khỏi QV018.</t>
  </si>
  <si>
    <t>FIX-035</t>
  </si>
  <si>
    <t>no-consecutive-run</t>
  </si>
  <si>
    <t>good/no-consecutive-run.json</t>
  </si>
  <si>
    <t>Không chuỗi liên tiếp nào &gt;= 4 câu cùng vị trí.</t>
  </si>
  <si>
    <t>FIX-036</t>
  </si>
  <si>
    <t>consecutive-skewed-run</t>
  </si>
  <si>
    <t>bad/consecutive-skewed-run.json</t>
  </si>
  <si>
    <t>4 câu đầu liên tiếp cùng vị trí đáp án đúng (chuỗi lặp), tổng tỉ lệ vẫn đúng 40% (không &gt; 40%) để không kích hoạt thêm QV017.</t>
  </si>
  <si>
    <t>FIX-037</t>
  </si>
  <si>
    <t>valid-structure-fields</t>
  </si>
  <si>
    <t>good/valid-structure-fields.json</t>
  </si>
  <si>
    <t>category/difficulty/points hợp lệ.</t>
  </si>
  <si>
    <t>FIX-038</t>
  </si>
  <si>
    <t>invalid-structure-fields</t>
  </si>
  <si>
    <t>bad/invalid-structure-fields.json</t>
  </si>
  <si>
    <t>Thiếu category, difficulty sai enum, points sai kiểu.</t>
  </si>
  <si>
    <t>FIX-039</t>
  </si>
  <si>
    <t>adequate-explanation</t>
  </si>
  <si>
    <t>good/adequate-explanation.json</t>
  </si>
  <si>
    <t>Explanation đủ dài, không placeholder.</t>
  </si>
  <si>
    <t>FIX-040</t>
  </si>
  <si>
    <t>explanation-too-short</t>
  </si>
  <si>
    <t>bad/explanation-too-short.json</t>
  </si>
  <si>
    <t>Explanation là placeholder "todo", quá ngắn.</t>
  </si>
  <si>
    <t>FIX-041</t>
  </si>
  <si>
    <t>question-with-enough-context</t>
  </si>
  <si>
    <t>good/question-with-enough-context.json</t>
  </si>
  <si>
    <t>Content đủ dài, đủ ngữ cảnh (&gt;= 5 từ).</t>
  </si>
  <si>
    <t>FIX-042</t>
  </si>
  <si>
    <t>question-too-vague</t>
  </si>
  <si>
    <t>bad/question-too-vague.json</t>
  </si>
  <si>
    <t>Content chỉ có 1 từ, thiếu ngữ cảnh.</t>
  </si>
  <si>
    <t>FIX-043</t>
  </si>
  <si>
    <t>distinct-question-topics</t>
  </si>
  <si>
    <t>good/distinct-question-topics.json</t>
  </si>
  <si>
    <t>2 câu hỏi khác chủ đề hoàn toàn, độ trùng từ thấp.</t>
  </si>
  <si>
    <t>FIX-044</t>
  </si>
  <si>
    <t>near-duplicate-question</t>
  </si>
  <si>
    <t>bad/near-duplicate-question.json</t>
  </si>
  <si>
    <t>2 câu hỏi gần như giống hệt, chỉ khác 1 từ ("của" vs "trên") - Jaccard ~86%.</t>
  </si>
  <si>
    <t>FIX-045</t>
  </si>
  <si>
    <t>balanced-option-length</t>
  </si>
  <si>
    <t>good/balanced-option-length.json</t>
  </si>
  <si>
    <t>Độ dài option đúng tương đương các option sai.</t>
  </si>
  <si>
    <t>FIX-046</t>
  </si>
  <si>
    <t>option-length-outlier</t>
  </si>
  <si>
    <t>bad/option-length-outlier.json</t>
  </si>
  <si>
    <t>Option đúng dài hơn hẳn (&gt;= 1.8x) trung bình các option sai - gợi ý đáp án qua độ dài.</t>
  </si>
  <si>
    <t>FIX-047</t>
  </si>
  <si>
    <t>real-content-sample-1</t>
  </si>
  <si>
    <t>good/real-content-sample-1.json</t>
  </si>
  <si>
    <t>Câu hỏi thật #5 trích từ initial-quiz-questions.ts (bonus, đối chứng false positive).</t>
  </si>
  <si>
    <t>FIX-048</t>
  </si>
  <si>
    <t>real-content-sample-2</t>
  </si>
  <si>
    <t>good/real-content-sample-2.json</t>
  </si>
  <si>
    <t>Câu hỏi thật #10 trích từ initial-quiz-questions.ts (bonus, đối chứng false positive).</t>
  </si>
  <si>
    <t>FIX-049</t>
  </si>
  <si>
    <t>combo-missing-category-and-duplicate</t>
  </si>
  <si>
    <t>bad/combo-missing-category-and-duplicate.json</t>
  </si>
  <si>
    <t>QV019, QV009, QV004</t>
  </si>
  <si>
    <t>Kết hợp: thiếu category (QV019) + explanation rỗng (QV009) + trùng text option (QV004).</t>
  </si>
  <si>
    <t>FIX-050</t>
  </si>
  <si>
    <t>combo-too-few-and-empty-option</t>
  </si>
  <si>
    <t>bad/combo-too-few-and-empty-option.json</t>
  </si>
  <si>
    <t>QV002, QV007</t>
  </si>
  <si>
    <t>Kết hợp: chỉ 1 option (QV002) và option đó lại rỗng text (QV007).</t>
  </si>
  <si>
    <t>03_Test_Execution - Kết quả chạy `node --test tests/quiz-validator.test.js`</t>
  </si>
  <si>
    <t>Kết quả (Status)</t>
  </si>
  <si>
    <t>Tên test</t>
  </si>
  <si>
    <t>PASS</t>
  </si>
  <si>
    <t>có đúng 23 rule (QV001-QV023), gồm 21 rule cấp câu hỏi + 2 rule cấp file</t>
  </si>
  <si>
    <t>mọi rule nhóm Ambiguity và Skew pattern đều là WARNING (không được là ERROR)</t>
  </si>
  <si>
    <t>mỗi rule có mã, severity hợp lệ, group và hướng sửa không rỗng</t>
  </si>
  <si>
    <t>JSON hợp lệ (quiz-good.json) -&gt; CLI chạy được, exit 0, 0 ERROR, đúng 1 WARNING đã biết (QV023 false positive)</t>
  </si>
  <si>
    <t>JSON không hợp lệ -&gt; báo lỗi parse QVPARSE, exit khác 0</t>
  </si>
  <si>
    <t>file định dạng không hỗ trợ (.txt) báo lỗi rõ ràng thay vì crash im lặng</t>
  </si>
  <si>
    <t>samples/quiz-bad.json kích hoạt đủ cả 23 rule QV001-QV023</t>
  </si>
  <si>
    <t>fixture bank có đúng 50 fixture (25 good + 25 bad)</t>
  </si>
  <si>
    <t>fixture FIX-001 (valid-options, good) khớp kỳ vọng trong fixtures-manifest.json</t>
  </si>
  <si>
    <t>fixture FIX-002 (missing-options, bad) khớp kỳ vọng trong fixtures-manifest.json</t>
  </si>
  <si>
    <t>fixture FIX-003 (minimum-two-options, good) khớp kỳ vọng trong fixtures-manifest.json</t>
  </si>
  <si>
    <t>fixture FIX-004 (too-few-options, bad) khớp kỳ vọng trong fixtures-manifest.json</t>
  </si>
  <si>
    <t>fixture FIX-005 (six-options-ok, good) khớp kỳ vọng trong fixtures-manifest.json</t>
  </si>
  <si>
    <t>fixture FIX-006 (too-many-options, bad) khớp kỳ vọng trong fixtures-manifest.json</t>
  </si>
  <si>
    <t>fixture FIX-007 (distinct-option-text, good) khớp kỳ vọng trong fixtures-manifest.json</t>
  </si>
  <si>
    <t>fixture FIX-008 (duplicate-option-text, bad) khớp kỳ vọng trong fixtures-manifest.json</t>
  </si>
  <si>
    <t>fixture FIX-009 (unique-option-keys, good) khớp kỳ vọng trong fixtures-manifest.json</t>
  </si>
  <si>
    <t>fixture FIX-010 (duplicate-option-key, bad) khớp kỳ vọng trong fixtures-manifest.json</t>
  </si>
  <si>
    <t>fixture FIX-011 (distinct-questions, good) khớp kỳ vọng trong fixtures-manifest.json</t>
  </si>
  <si>
    <t>fixture FIX-012 (duplicate-question, bad) khớp kỳ vọng trong fixtures-manifest.json</t>
  </si>
  <si>
    <t>fixture FIX-013 (non-empty-option-text, good) khớp kỳ vọng trong fixtures-manifest.json</t>
  </si>
  <si>
    <t>fixture FIX-014 (empty-option-text, bad) khớp kỳ vọng trong fixtures-manifest.json</t>
  </si>
  <si>
    <t>fixture FIX-015 (non-empty-question, good) khớp kỳ vọng trong fixtures-manifest.json</t>
  </si>
  <si>
    <t>fixture FIX-016 (empty-question, bad) khớp kỳ vọng trong fixtures-manifest.json</t>
  </si>
  <si>
    <t>fixture FIX-017 (non-empty-explanation, good) khớp kỳ vọng trong fixtures-manifest.json</t>
  </si>
  <si>
    <t>fixture FIX-018 (empty-explanation, bad) khớp kỳ vọng trong fixtures-manifest.json</t>
  </si>
  <si>
    <t>fixture FIX-019 (has-correct-answer, good) khớp kỳ vọng trong fixtures-manifest.json</t>
  </si>
  <si>
    <t>fixture FIX-020 (no-correct-answer, bad) khớp kỳ vọng trong fixtures-manifest.json</t>
  </si>
  <si>
    <t>fixture FIX-021 (multiple-correct-with-flag, good) khớp kỳ vọng trong fixtures-manifest.json</t>
  </si>
  <si>
    <t>fixture FIX-022 (two-correct-answers, bad) khớp kỳ vọng trong fixtures-manifest.json</t>
  </si>
  <si>
    <t>fixture FIX-023 (all-options-have-keys, good) khớp kỳ vọng trong fixtures-manifest.json</t>
  </si>
  <si>
    <t>fixture FIX-024 (option-missing-key, bad) khớp kỳ vọng trong fixtures-manifest.json</t>
  </si>
  <si>
    <t>fixture FIX-025 (explanation-correct-key, good) khớp kỳ vọng trong fixtures-manifest.json</t>
  </si>
  <si>
    <t>fixture FIX-026 (explanation-wrong-key, bad) khớp kỳ vọng trong fixtures-manifest.json</t>
  </si>
  <si>
    <t>fixture FIX-027 (technically-distinct-options, good) khớp kỳ vọng trong fixtures-manifest.json</t>
  </si>
  <si>
    <t>fixture FIX-028 (near-duplicate-option, bad) khớp kỳ vọng trong fixtures-manifest.json</t>
  </si>
  <si>
    <t>fixture FIX-029 (no-all-of-the-above, good) khớp kỳ vọng trong fixtures-manifest.json</t>
  </si>
  <si>
    <t>fixture FIX-030 (all-of-the-above, bad) khớp kỳ vọng trong fixtures-manifest.json</t>
  </si>
  <si>
    <t>fixture FIX-031 (no-substring-overlap, good) khớp kỳ vọng trong fixtures-manifest.json</t>
  </si>
  <si>
    <t>fixture FIX-032 (option-substring-overlap, bad) khớp kỳ vọng trong fixtures-manifest.json</t>
  </si>
  <si>
    <t>fixture FIX-033 (balanced-answer-position, good) khớp kỳ vọng trong fixtures-manifest.json</t>
  </si>
  <si>
    <t>fixture FIX-034 (skewed-answer-position, bad) khớp kỳ vọng trong fixtures-manifest.json</t>
  </si>
  <si>
    <t>fixture FIX-035 (no-consecutive-run, good) khớp kỳ vọng trong fixtures-manifest.json</t>
  </si>
  <si>
    <t>fixture FIX-036 (consecutive-skewed-run, bad) khớp kỳ vọng trong fixtures-manifest.json</t>
  </si>
  <si>
    <t>fixture FIX-037 (valid-structure-fields, good) khớp kỳ vọng trong fixtures-manifest.json</t>
  </si>
  <si>
    <t>fixture FIX-038 (invalid-structure-fields, bad) khớp kỳ vọng trong fixtures-manifest.json</t>
  </si>
  <si>
    <t>fixture FIX-039 (adequate-explanation, good) khớp kỳ vọng trong fixtures-manifest.json</t>
  </si>
  <si>
    <t>fixture FIX-040 (explanation-too-short, bad) khớp kỳ vọng trong fixtures-manifest.json</t>
  </si>
  <si>
    <t>fixture FIX-041 (question-with-enough-context, good) khớp kỳ vọng trong fixtures-manifest.json</t>
  </si>
  <si>
    <t>fixture FIX-042 (question-too-vague, bad) khớp kỳ vọng trong fixtures-manifest.json</t>
  </si>
  <si>
    <t>fixture FIX-043 (distinct-question-topics, good) khớp kỳ vọng trong fixtures-manifest.json</t>
  </si>
  <si>
    <t>fixture FIX-044 (near-duplicate-question, bad) khớp kỳ vọng trong fixtures-manifest.json</t>
  </si>
  <si>
    <t>fixture FIX-045 (balanced-option-length, good) khớp kỳ vọng trong fixtures-manifest.json</t>
  </si>
  <si>
    <t>fixture FIX-046 (option-length-outlier, bad) khớp kỳ vọng trong fixtures-manifest.json</t>
  </si>
  <si>
    <t>fixture FIX-047 (real-content-sample-1, good) khớp kỳ vọng trong fixtures-manifest.json</t>
  </si>
  <si>
    <t>fixture FIX-048 (real-content-sample-2, good) khớp kỳ vọng trong fixtures-manifest.json</t>
  </si>
  <si>
    <t>fixture FIX-049 (combo-missing-category-and-duplicate, bad) khớp kỳ vọng trong fixtures-manifest.json</t>
  </si>
  <si>
    <t>fixture FIX-050 (combo-too-few-and-empty-option, bad) khớp kỳ vọng trong fixtures-manifest.json</t>
  </si>
  <si>
    <t>QV008 báo đúng dòng chứa key "content" khi content rỗng</t>
  </si>
  <si>
    <t>QV005 báo đúng dòng chứa option key trùng (không phải dòng đầu file)</t>
  </si>
  <si>
    <t>quiz-validator không được sửa/ghi đè file input</t>
  </si>
  <si>
    <t>--out-dir ghi quality-report.json/.csv đúng field, đúng nội dung</t>
  </si>
  <si>
    <t>--fail-on error: exit 1 khi có ERROR, exit 0 khi không truyền (mặc định = error)</t>
  </si>
  <si>
    <t>--fail-on never: luôn exit 0 kể cả khi có ERROR</t>
  </si>
  <si>
    <t>--fail-on warning: exit 1 kể cả khi chỉ có WARNING (quiz-good.json có đúng 1 WARNING đã biết QV023 nên exit 1)</t>
  </si>
  <si>
    <t>truyền 1 thư mục -&gt; tự quét đệ quy hết file .json bên trong</t>
  </si>
  <si>
    <t>QV017/QV018 loại câu hỏi đã lỗi (thiếu answer key, nhiều đáp án đúng...) khỏi thống kê pattern lệch</t>
  </si>
  <si>
    <t>checklist #1: fixture GOOD hợp lệ -&gt; không có ERROR nào</t>
  </si>
  <si>
    <t>checklist #2: content rỗng -&gt; QV008 (ERROR)</t>
  </si>
  <si>
    <t>checklist #3: option trùng nội dung -&gt; QV004 (ERROR)</t>
  </si>
  <si>
    <t>checklist #4: không có đáp án đúng nào -&gt; QV010 (ERROR)</t>
  </si>
  <si>
    <t>checklist #5: có 2 đáp án đúng (không khai allowMultiple) -&gt; QV011 (ERROR)</t>
  </si>
  <si>
    <t>checklist #6: option thiếu/rỗng answer key -&gt; QV012 (ERROR)</t>
  </si>
  <si>
    <t>checklist #7: đáp án đúng lệch vị trí trong cả file -&gt; QV017 (WARNING, không phải ERROR)</t>
  </si>
  <si>
    <t>checklist #8: mẫu câu ambiguity ("tất cả đáp án trên"...) -&gt; WARNING, không phải ERROR (chỉ gắn cờ, không tự kết luận)</t>
  </si>
  <si>
    <t>real-content/quiz-questions.json (30 câu thật) không có ERROR nào (chỉ có thể có WARNING)</t>
  </si>
  <si>
    <t>Tổng kết:</t>
  </si>
  <si>
    <t>76 test, 76 pass, 0 fail</t>
  </si>
  <si>
    <t>04_Quiz_Findings - Finding trên 30 câu hỏi THẬT (real-content/quiz-questions.json)</t>
  </si>
  <si>
    <t>Lưu ý: đây là finding trên DỮ LIỆU SẢN XUẤT THẬT, không phải fixture cố ý lỗi - mỗi dòng là 1 khả năng cần con người xem lại, KHÔNG PHẢI bug đã xác nhận (mục 9 hướng dẫn điều chỉnh). 3 cột cuối CỐ Ý để trống, người review điền tay.</t>
  </si>
  <si>
    <t>File</t>
  </si>
  <si>
    <t>Question ID</t>
  </si>
  <si>
    <t>Line</t>
  </si>
  <si>
    <t>Path</t>
  </si>
  <si>
    <t>Message</t>
  </si>
  <si>
    <t>Suggested Fix</t>
  </si>
  <si>
    <t>False Positive?</t>
  </si>
  <si>
    <t>Final Result</t>
  </si>
  <si>
    <t>quiz-questions.json</t>
  </si>
  <si>
    <t>quiz-questions.json#(toàn file)</t>
  </si>
  <si>
    <t>$</t>
  </si>
  <si>
    <t>correct answer sits at option position 1 in 19/30 questions (63%) - skewed beyond the 40% threshold</t>
  </si>
  <si>
    <t>$[4]</t>
  </si>
  <si>
    <t>4 consecutive questions ($[4] .. $[7]) all have the correct answer at option position 1</t>
  </si>
  <si>
    <t>quiz-questions.json#Q12</t>
  </si>
  <si>
    <t>$[11].options[1]</t>
  </si>
  <si>
    <t>correct option is 2.2x longer than the average distractor (17 vs avg 7.7 chars) - possible length-based giveaway</t>
  </si>
  <si>
    <t>quiz-questions.json#Q16</t>
  </si>
  <si>
    <t>$[15].options[0]</t>
  </si>
  <si>
    <t>correct option is 2.2x shorter than the average distractor (3 vs avg 6.7 chars) - possible length-based giveaway</t>
  </si>
  <si>
    <t>quiz-questions.json#Q21</t>
  </si>
  <si>
    <t>$[20].options[2]</t>
  </si>
  <si>
    <t>correct option is 3.7x shorter than the average distractor (1 vs avg 3.7 chars) - possible length-based giveaway</t>
  </si>
  <si>
    <t>quiz-questions.json#Q24</t>
  </si>
  <si>
    <t>$[23].options[0]</t>
  </si>
  <si>
    <t>correct option is 1.9x longer than the average distractor (18 vs avg 9.7 chars) - possible length-based giveaway</t>
  </si>
  <si>
    <t>quiz-questions.json#Q25</t>
  </si>
  <si>
    <t>$[24].options[1]</t>
  </si>
  <si>
    <t>correct option is 2.3x shorter than the average distractor (1 vs avg 2.3 chars) - possible length-based giveaway</t>
  </si>
  <si>
    <t>quiz-questions.json#Q29</t>
  </si>
  <si>
    <t>$[28].options[0]</t>
  </si>
  <si>
    <t>options[0] "1 2 3" is a substring of options[2] "0 1 2 3"</t>
  </si>
  <si>
    <t>$[28].options[1]</t>
  </si>
  <si>
    <t>options[1] "0 1 2" is a substring of options[2] "0 1 2 3"</t>
  </si>
  <si>
    <t>$[28].options[3]</t>
  </si>
  <si>
    <t>options[3] "1 2" is a substring of options[0] "1 2 3"</t>
  </si>
  <si>
    <t>quiz-questions.json#Q30</t>
  </si>
  <si>
    <t>$[29].options[1]</t>
  </si>
  <si>
    <t>options[1] "def" is a substring of options[3] "define"</t>
  </si>
  <si>
    <t>correct option is 2.0x shorter than the average distractor (3 vs avg 6.0 chars) - possible length-based giveaway</t>
  </si>
  <si>
    <t>$[29].options[2]</t>
  </si>
  <si>
    <t>options[2] "func" is a substring of options[0] "function"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</si>
</sst>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sz val="11"/>
      <color rgb="FF1F1F1F"/>
      <name val="Carlito"/>
    </font>
    <font>
      <b/>
      <sz val="11"/>
      <color rgb="FF1F1F1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opLeftCell="A16" workbookViewId="0">
      <selection activeCell="I13" sqref="I13"/>
    </sheetView>
  </sheetViews>
  <sheetFormatPr defaultRowHeight="14.25"/>
  <cols>
    <col min="1" max="1" width="22" customWidth="1"/>
    <col min="2" max="2" width="30" customWidth="1"/>
    <col min="3" max="3" width="22" customWidth="1"/>
    <col min="4" max="8" width="18" customWidth="1"/>
  </cols>
  <sheetData>
    <row r="1" spans="1:8" ht="27.95" customHeight="1">
      <c r="A1" s="5" t="s">
        <v>0</v>
      </c>
      <c r="B1" s="5"/>
      <c r="C1" s="5"/>
      <c r="D1" s="5"/>
      <c r="E1" s="5"/>
      <c r="F1" s="5"/>
      <c r="G1" s="5"/>
      <c r="H1" s="5"/>
    </row>
    <row r="2" spans="1:8" ht="24" customHeight="1">
      <c r="A2" s="6" t="s">
        <v>1</v>
      </c>
      <c r="B2" s="6"/>
      <c r="C2" s="6"/>
      <c r="D2" s="6"/>
      <c r="E2" s="6"/>
      <c r="F2" s="6"/>
      <c r="G2" s="6"/>
      <c r="H2" s="6"/>
    </row>
    <row r="4" spans="1:8" ht="15" customHeight="1">
      <c r="A4" s="7" t="s">
        <v>2</v>
      </c>
      <c r="B4" s="7"/>
      <c r="C4" s="7"/>
      <c r="D4" s="7"/>
      <c r="E4" s="7"/>
      <c r="F4" s="7"/>
      <c r="G4" s="7"/>
      <c r="H4" s="7"/>
    </row>
    <row r="5" spans="1:8" ht="15" customHeight="1">
      <c r="A5" s="1" t="s">
        <v>3</v>
      </c>
      <c r="B5" s="8" t="s">
        <v>4</v>
      </c>
      <c r="C5" s="8"/>
      <c r="D5" s="8"/>
      <c r="E5" s="8"/>
      <c r="F5" s="8"/>
      <c r="G5" s="8"/>
      <c r="H5" s="8"/>
    </row>
    <row r="6" spans="1:8" ht="15" customHeight="1">
      <c r="A6" s="2" t="s">
        <v>5</v>
      </c>
      <c r="B6" s="9" t="s">
        <v>6</v>
      </c>
      <c r="C6" s="9"/>
      <c r="D6" s="9"/>
      <c r="E6" s="9"/>
      <c r="F6" s="9"/>
      <c r="G6" s="9"/>
      <c r="H6" s="9"/>
    </row>
    <row r="7" spans="1:8" ht="15" customHeight="1">
      <c r="A7" s="2" t="s">
        <v>7</v>
      </c>
      <c r="B7" s="9" t="s">
        <v>8</v>
      </c>
      <c r="C7" s="9"/>
      <c r="D7" s="9"/>
      <c r="E7" s="9"/>
      <c r="F7" s="9"/>
      <c r="G7" s="9"/>
      <c r="H7" s="9"/>
    </row>
    <row r="8" spans="1:8" ht="15" customHeight="1">
      <c r="A8" s="2" t="s">
        <v>9</v>
      </c>
      <c r="B8" s="9" t="s">
        <v>10</v>
      </c>
      <c r="C8" s="9"/>
      <c r="D8" s="9"/>
      <c r="E8" s="9"/>
      <c r="F8" s="9"/>
      <c r="G8" s="9"/>
      <c r="H8" s="9"/>
    </row>
    <row r="9" spans="1:8" ht="15" customHeight="1">
      <c r="A9" s="2" t="s">
        <v>11</v>
      </c>
      <c r="B9" s="9" t="s">
        <v>12</v>
      </c>
      <c r="C9" s="9"/>
      <c r="D9" s="9"/>
      <c r="E9" s="9"/>
      <c r="F9" s="9"/>
      <c r="G9" s="9"/>
      <c r="H9" s="9"/>
    </row>
    <row r="11" spans="1:8" ht="15" customHeight="1">
      <c r="A11" s="7" t="s">
        <v>13</v>
      </c>
      <c r="B11" s="7"/>
      <c r="C11" s="7"/>
      <c r="D11" s="7"/>
      <c r="E11" s="7"/>
      <c r="F11" s="7"/>
      <c r="G11" s="7"/>
      <c r="H11" s="7"/>
    </row>
    <row r="12" spans="1:8" ht="15" customHeight="1">
      <c r="A12" s="1" t="s">
        <v>3</v>
      </c>
      <c r="B12" s="1" t="s">
        <v>14</v>
      </c>
      <c r="C12" s="8" t="s">
        <v>15</v>
      </c>
      <c r="D12" s="8"/>
      <c r="E12" s="8"/>
      <c r="F12" s="8"/>
      <c r="G12" s="8"/>
      <c r="H12" s="8"/>
    </row>
    <row r="13" spans="1:8" ht="15" customHeight="1">
      <c r="A13" s="2" t="s">
        <v>16</v>
      </c>
      <c r="B13" s="3">
        <f>COUNTA('01_Rule_Catalog'!A3:A25)</f>
        <v>23</v>
      </c>
      <c r="C13" s="9" t="s">
        <v>17</v>
      </c>
      <c r="D13" s="9"/>
      <c r="E13" s="9"/>
      <c r="F13" s="9"/>
      <c r="G13" s="9"/>
      <c r="H13" s="9"/>
    </row>
    <row r="14" spans="1:8" ht="15" customHeight="1">
      <c r="A14" s="2" t="s">
        <v>18</v>
      </c>
      <c r="B14" s="3">
        <f>COUNTIF('01_Rule_Catalog'!B3:B25,"ERROR")</f>
        <v>10</v>
      </c>
      <c r="C14" s="9" t="s">
        <v>19</v>
      </c>
      <c r="D14" s="9"/>
      <c r="E14" s="9"/>
      <c r="F14" s="9"/>
      <c r="G14" s="9"/>
      <c r="H14" s="9"/>
    </row>
    <row r="15" spans="1:8" ht="15" customHeight="1">
      <c r="A15" s="2" t="s">
        <v>20</v>
      </c>
      <c r="B15" s="3">
        <f>COUNTIF('01_Rule_Catalog'!B3:B25,"WARNING")</f>
        <v>13</v>
      </c>
      <c r="C15" s="9" t="s">
        <v>21</v>
      </c>
      <c r="D15" s="9"/>
      <c r="E15" s="9"/>
      <c r="F15" s="9"/>
      <c r="G15" s="9"/>
      <c r="H15" s="9"/>
    </row>
    <row r="16" spans="1:8" ht="15" customHeight="1">
      <c r="A16" s="2" t="s">
        <v>22</v>
      </c>
      <c r="B16" s="3">
        <f>COUNTA('02_Fixture_Bank'!A3:A52)</f>
        <v>50</v>
      </c>
      <c r="C16" s="9" t="s">
        <v>23</v>
      </c>
      <c r="D16" s="9"/>
      <c r="E16" s="9"/>
      <c r="F16" s="9"/>
      <c r="G16" s="9"/>
      <c r="H16" s="9"/>
    </row>
    <row r="17" spans="1:8" ht="15" customHeight="1">
      <c r="A17" s="2" t="s">
        <v>24</v>
      </c>
      <c r="B17" s="3">
        <f>COUNTIF('02_Fixture_Bank'!D3:D52,"good")</f>
        <v>25</v>
      </c>
      <c r="C17" s="9" t="s">
        <v>25</v>
      </c>
      <c r="D17" s="9"/>
      <c r="E17" s="9"/>
      <c r="F17" s="9"/>
      <c r="G17" s="9"/>
      <c r="H17" s="9"/>
    </row>
    <row r="18" spans="1:8" ht="15" customHeight="1">
      <c r="A18" s="2" t="s">
        <v>26</v>
      </c>
      <c r="B18" s="3">
        <f>COUNTIF('02_Fixture_Bank'!D3:D52,"bad")</f>
        <v>25</v>
      </c>
      <c r="C18" s="9" t="s">
        <v>27</v>
      </c>
      <c r="D18" s="9"/>
      <c r="E18" s="9"/>
      <c r="F18" s="9"/>
      <c r="G18" s="9"/>
      <c r="H18" s="9"/>
    </row>
    <row r="19" spans="1:8" ht="15" customHeight="1">
      <c r="A19" s="2" t="s">
        <v>28</v>
      </c>
      <c r="B19" s="3">
        <f>COUNTA('03_Test_Execution'!A3:A78)</f>
        <v>76</v>
      </c>
      <c r="C19" s="9" t="s">
        <v>29</v>
      </c>
      <c r="D19" s="9"/>
      <c r="E19" s="9"/>
      <c r="F19" s="9"/>
      <c r="G19" s="9"/>
      <c r="H19" s="9"/>
    </row>
    <row r="20" spans="1:8" ht="15" customHeight="1">
      <c r="A20" s="2" t="s">
        <v>30</v>
      </c>
      <c r="B20" s="3">
        <f>COUNTIF('03_Test_Execution'!B3:B78,"PASS")</f>
        <v>76</v>
      </c>
      <c r="C20" s="9"/>
      <c r="D20" s="9"/>
      <c r="E20" s="9"/>
      <c r="F20" s="9"/>
      <c r="G20" s="9"/>
      <c r="H20" s="9"/>
    </row>
    <row r="21" spans="1:8" ht="15" customHeight="1">
      <c r="A21" s="2" t="s">
        <v>31</v>
      </c>
      <c r="B21" s="3">
        <f>COUNTIF('03_Test_Execution'!B3:B78,"FAIL")</f>
        <v>0</v>
      </c>
      <c r="C21" s="9"/>
      <c r="D21" s="9"/>
      <c r="E21" s="9"/>
      <c r="F21" s="9"/>
      <c r="G21" s="9"/>
      <c r="H21" s="9"/>
    </row>
    <row r="22" spans="1:8" ht="15" customHeight="1">
      <c r="A22" s="2" t="s">
        <v>32</v>
      </c>
      <c r="B22" s="3">
        <f>COUNTA('04_Quiz_Findings'!A5:A17)</f>
        <v>13</v>
      </c>
      <c r="C22" s="9" t="s">
        <v>33</v>
      </c>
      <c r="D22" s="9"/>
      <c r="E22" s="9"/>
      <c r="F22" s="9"/>
      <c r="G22" s="9"/>
      <c r="H22" s="9"/>
    </row>
    <row r="23" spans="1:8" ht="15" customHeight="1">
      <c r="A23" s="2" t="s">
        <v>34</v>
      </c>
      <c r="B23" s="3">
        <f>COUNTA(#REF!)</f>
        <v>1</v>
      </c>
      <c r="C23" s="9" t="s">
        <v>35</v>
      </c>
      <c r="D23" s="9"/>
      <c r="E23" s="9"/>
      <c r="F23" s="9"/>
      <c r="G23" s="9"/>
      <c r="H23" s="9"/>
    </row>
    <row r="25" spans="1:8" ht="15" customHeight="1">
      <c r="A25" s="7" t="s">
        <v>36</v>
      </c>
      <c r="B25" s="7"/>
      <c r="C25" s="7"/>
      <c r="D25" s="7"/>
      <c r="E25" s="7"/>
      <c r="F25" s="7"/>
      <c r="G25" s="7"/>
      <c r="H25" s="7"/>
    </row>
    <row r="26" spans="1:8" ht="15" customHeight="1">
      <c r="A26" s="1" t="s">
        <v>37</v>
      </c>
      <c r="B26" s="1" t="s">
        <v>38</v>
      </c>
      <c r="C26" s="1" t="s">
        <v>39</v>
      </c>
      <c r="D26" s="8" t="s">
        <v>40</v>
      </c>
      <c r="E26" s="8"/>
      <c r="F26" s="8"/>
      <c r="G26" s="8"/>
      <c r="H26" s="8"/>
    </row>
    <row r="27" spans="1:8" ht="26.45" customHeight="1">
      <c r="A27" s="3">
        <v>1</v>
      </c>
      <c r="B27" s="2" t="s">
        <v>41</v>
      </c>
      <c r="C27" s="3" t="s">
        <v>42</v>
      </c>
      <c r="D27" s="9" t="s">
        <v>43</v>
      </c>
      <c r="E27" s="9"/>
      <c r="F27" s="9"/>
      <c r="G27" s="9"/>
      <c r="H27" s="9"/>
    </row>
    <row r="28" spans="1:8" ht="15" customHeight="1">
      <c r="A28" s="3">
        <v>2</v>
      </c>
      <c r="B28" s="2" t="s">
        <v>44</v>
      </c>
      <c r="C28" s="3" t="s">
        <v>42</v>
      </c>
      <c r="D28" s="9" t="s">
        <v>45</v>
      </c>
      <c r="E28" s="9"/>
      <c r="F28" s="9"/>
      <c r="G28" s="9"/>
      <c r="H28" s="9"/>
    </row>
    <row r="29" spans="1:8" ht="15" customHeight="1">
      <c r="A29" s="3">
        <v>3</v>
      </c>
      <c r="B29" s="2" t="s">
        <v>46</v>
      </c>
      <c r="C29" s="3" t="s">
        <v>42</v>
      </c>
      <c r="D29" s="9" t="s">
        <v>47</v>
      </c>
      <c r="E29" s="9"/>
      <c r="F29" s="9"/>
      <c r="G29" s="9"/>
      <c r="H29" s="9"/>
    </row>
    <row r="30" spans="1:8" ht="26.45" customHeight="1">
      <c r="A30" s="3">
        <v>4</v>
      </c>
      <c r="B30" s="2" t="s">
        <v>48</v>
      </c>
      <c r="C30" s="3" t="s">
        <v>42</v>
      </c>
      <c r="D30" s="9" t="s">
        <v>49</v>
      </c>
      <c r="E30" s="9"/>
      <c r="F30" s="9"/>
      <c r="G30" s="9"/>
      <c r="H30" s="9"/>
    </row>
    <row r="33" spans="1:8" ht="15" customHeight="1">
      <c r="A33" s="7" t="s">
        <v>50</v>
      </c>
      <c r="B33" s="7"/>
      <c r="C33" s="7"/>
      <c r="D33" s="7"/>
      <c r="E33" s="7"/>
      <c r="F33" s="7"/>
      <c r="G33" s="7"/>
      <c r="H33" s="7"/>
    </row>
    <row r="34" spans="1:8" ht="15" customHeight="1">
      <c r="A34" s="1" t="s">
        <v>37</v>
      </c>
      <c r="B34" s="1" t="s">
        <v>51</v>
      </c>
      <c r="C34" s="8" t="s">
        <v>52</v>
      </c>
      <c r="D34" s="8"/>
      <c r="E34" s="8"/>
      <c r="F34" s="8"/>
      <c r="G34" s="8"/>
      <c r="H34" s="8"/>
    </row>
    <row r="35" spans="1:8" ht="15" customHeight="1">
      <c r="A35" s="3">
        <v>1</v>
      </c>
      <c r="B35" s="2" t="s">
        <v>53</v>
      </c>
      <c r="C35" s="9" t="s">
        <v>54</v>
      </c>
      <c r="D35" s="9"/>
      <c r="E35" s="9"/>
      <c r="F35" s="9"/>
      <c r="G35" s="9"/>
      <c r="H35" s="9"/>
    </row>
    <row r="36" spans="1:8" ht="15" customHeight="1">
      <c r="A36" s="3">
        <v>2</v>
      </c>
      <c r="B36" s="2" t="s">
        <v>55</v>
      </c>
      <c r="C36" s="9" t="s">
        <v>56</v>
      </c>
      <c r="D36" s="9"/>
      <c r="E36" s="9"/>
      <c r="F36" s="9"/>
      <c r="G36" s="9"/>
      <c r="H36" s="9"/>
    </row>
    <row r="37" spans="1:8" ht="15" customHeight="1">
      <c r="A37" s="3">
        <v>3</v>
      </c>
      <c r="B37" s="2" t="s">
        <v>57</v>
      </c>
      <c r="C37" s="9" t="s">
        <v>58</v>
      </c>
      <c r="D37" s="9"/>
      <c r="E37" s="9"/>
      <c r="F37" s="9"/>
      <c r="G37" s="9"/>
      <c r="H37" s="9"/>
    </row>
    <row r="38" spans="1:8" ht="15" customHeight="1">
      <c r="A38" s="3">
        <v>4</v>
      </c>
      <c r="B38" s="2" t="s">
        <v>59</v>
      </c>
      <c r="C38" s="9" t="s">
        <v>60</v>
      </c>
      <c r="D38" s="9"/>
      <c r="E38" s="9"/>
      <c r="F38" s="9"/>
      <c r="G38" s="9"/>
      <c r="H38" s="9"/>
    </row>
    <row r="39" spans="1:8" ht="15" customHeight="1">
      <c r="A39" s="3">
        <v>5</v>
      </c>
      <c r="B39" s="2" t="s">
        <v>61</v>
      </c>
      <c r="C39" s="9" t="s">
        <v>62</v>
      </c>
      <c r="D39" s="9"/>
      <c r="E39" s="9"/>
      <c r="F39" s="9"/>
      <c r="G39" s="9"/>
      <c r="H39" s="9"/>
    </row>
    <row r="40" spans="1:8" ht="15" customHeight="1">
      <c r="A40" s="3">
        <v>6</v>
      </c>
      <c r="B40" s="2" t="s">
        <v>63</v>
      </c>
      <c r="C40" s="9" t="s">
        <v>64</v>
      </c>
      <c r="D40" s="9"/>
      <c r="E40" s="9"/>
      <c r="F40" s="9"/>
      <c r="G40" s="9"/>
      <c r="H40" s="9"/>
    </row>
    <row r="41" spans="1:8" ht="15" customHeight="1">
      <c r="A41" s="3">
        <v>7</v>
      </c>
      <c r="B41" s="2" t="s">
        <v>65</v>
      </c>
      <c r="C41" s="9" t="s">
        <v>66</v>
      </c>
      <c r="D41" s="9"/>
      <c r="E41" s="9"/>
      <c r="F41" s="9"/>
      <c r="G41" s="9"/>
      <c r="H41" s="9"/>
    </row>
  </sheetData>
  <mergeCells count="36">
    <mergeCell ref="C41:H41"/>
    <mergeCell ref="C36:H36"/>
    <mergeCell ref="C37:H37"/>
    <mergeCell ref="C38:H38"/>
    <mergeCell ref="C39:H39"/>
    <mergeCell ref="C40:H40"/>
    <mergeCell ref="D29:H29"/>
    <mergeCell ref="D30:H30"/>
    <mergeCell ref="A33:H33"/>
    <mergeCell ref="C34:H34"/>
    <mergeCell ref="C35:H35"/>
    <mergeCell ref="C23:H23"/>
    <mergeCell ref="A25:H25"/>
    <mergeCell ref="D26:H26"/>
    <mergeCell ref="D27:H27"/>
    <mergeCell ref="D28:H28"/>
    <mergeCell ref="C18:H18"/>
    <mergeCell ref="C19:H19"/>
    <mergeCell ref="C20:H20"/>
    <mergeCell ref="C21:H21"/>
    <mergeCell ref="C22:H22"/>
    <mergeCell ref="C13:H13"/>
    <mergeCell ref="C14:H14"/>
    <mergeCell ref="C15:H15"/>
    <mergeCell ref="C16:H16"/>
    <mergeCell ref="C17:H17"/>
    <mergeCell ref="B7:H7"/>
    <mergeCell ref="B8:H8"/>
    <mergeCell ref="B9:H9"/>
    <mergeCell ref="A11:H11"/>
    <mergeCell ref="C12:H12"/>
    <mergeCell ref="A1:H1"/>
    <mergeCell ref="A2:H2"/>
    <mergeCell ref="A4:H4"/>
    <mergeCell ref="B5:H5"/>
    <mergeCell ref="B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E25" sqref="E25"/>
    </sheetView>
  </sheetViews>
  <sheetFormatPr defaultRowHeight="14.25"/>
  <cols>
    <col min="1" max="1" width="11" customWidth="1"/>
    <col min="2" max="2" width="12" customWidth="1"/>
    <col min="3" max="3" width="20" customWidth="1"/>
    <col min="4" max="4" width="13" customWidth="1"/>
    <col min="5" max="5" width="55" customWidth="1"/>
    <col min="6" max="6" width="60" customWidth="1"/>
  </cols>
  <sheetData>
    <row r="1" spans="1:6" ht="27.95" customHeight="1">
      <c r="A1" s="5" t="s">
        <v>67</v>
      </c>
      <c r="B1" s="5"/>
      <c r="C1" s="5"/>
      <c r="D1" s="5"/>
      <c r="E1" s="5"/>
      <c r="F1" s="5"/>
    </row>
    <row r="2" spans="1:6" ht="15" customHeight="1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ht="15" customHeight="1">
      <c r="A3" s="3" t="s">
        <v>74</v>
      </c>
      <c r="B3" s="3" t="s">
        <v>75</v>
      </c>
      <c r="C3" s="3" t="s">
        <v>76</v>
      </c>
      <c r="D3" s="3" t="s">
        <v>77</v>
      </c>
      <c r="E3" s="2" t="s">
        <v>78</v>
      </c>
      <c r="F3" s="2" t="s">
        <v>79</v>
      </c>
    </row>
    <row r="4" spans="1:6" ht="15" customHeight="1">
      <c r="A4" s="3" t="s">
        <v>80</v>
      </c>
      <c r="B4" s="3" t="s">
        <v>75</v>
      </c>
      <c r="C4" s="3" t="s">
        <v>76</v>
      </c>
      <c r="D4" s="3" t="s">
        <v>77</v>
      </c>
      <c r="E4" s="2" t="s">
        <v>81</v>
      </c>
      <c r="F4" s="2" t="s">
        <v>82</v>
      </c>
    </row>
    <row r="5" spans="1:6" ht="15" customHeight="1">
      <c r="A5" s="3" t="s">
        <v>83</v>
      </c>
      <c r="B5" s="3" t="s">
        <v>84</v>
      </c>
      <c r="C5" s="3" t="s">
        <v>76</v>
      </c>
      <c r="D5" s="3" t="s">
        <v>77</v>
      </c>
      <c r="E5" s="2" t="s">
        <v>85</v>
      </c>
      <c r="F5" s="2" t="s">
        <v>86</v>
      </c>
    </row>
    <row r="6" spans="1:6" ht="34.5" customHeight="1">
      <c r="A6" s="3" t="s">
        <v>87</v>
      </c>
      <c r="B6" s="3" t="s">
        <v>75</v>
      </c>
      <c r="C6" s="3" t="s">
        <v>88</v>
      </c>
      <c r="D6" s="3" t="s">
        <v>77</v>
      </c>
      <c r="E6" s="2" t="s">
        <v>89</v>
      </c>
      <c r="F6" s="2" t="s">
        <v>90</v>
      </c>
    </row>
    <row r="7" spans="1:6" ht="26.45" customHeight="1">
      <c r="A7" s="3" t="s">
        <v>91</v>
      </c>
      <c r="B7" s="3" t="s">
        <v>75</v>
      </c>
      <c r="C7" s="3" t="s">
        <v>88</v>
      </c>
      <c r="D7" s="3" t="s">
        <v>77</v>
      </c>
      <c r="E7" s="2" t="s">
        <v>92</v>
      </c>
      <c r="F7" s="2" t="s">
        <v>93</v>
      </c>
    </row>
    <row r="8" spans="1:6" ht="56.25" customHeight="1">
      <c r="A8" s="3" t="s">
        <v>94</v>
      </c>
      <c r="B8" s="3" t="s">
        <v>84</v>
      </c>
      <c r="C8" s="3" t="s">
        <v>88</v>
      </c>
      <c r="D8" s="3" t="s">
        <v>77</v>
      </c>
      <c r="E8" s="2" t="s">
        <v>95</v>
      </c>
      <c r="F8" s="2" t="s">
        <v>96</v>
      </c>
    </row>
    <row r="9" spans="1:6" ht="15" customHeight="1">
      <c r="A9" s="3" t="s">
        <v>97</v>
      </c>
      <c r="B9" s="3" t="s">
        <v>75</v>
      </c>
      <c r="C9" s="3" t="s">
        <v>98</v>
      </c>
      <c r="D9" s="3" t="s">
        <v>77</v>
      </c>
      <c r="E9" s="2" t="s">
        <v>99</v>
      </c>
      <c r="F9" s="2" t="s">
        <v>100</v>
      </c>
    </row>
    <row r="10" spans="1:6" ht="15" customHeight="1">
      <c r="A10" s="3" t="s">
        <v>101</v>
      </c>
      <c r="B10" s="3" t="s">
        <v>75</v>
      </c>
      <c r="C10" s="3" t="s">
        <v>98</v>
      </c>
      <c r="D10" s="3" t="s">
        <v>77</v>
      </c>
      <c r="E10" s="2" t="s">
        <v>102</v>
      </c>
      <c r="F10" s="2" t="s">
        <v>103</v>
      </c>
    </row>
    <row r="11" spans="1:6" ht="15" customHeight="1">
      <c r="A11" s="3" t="s">
        <v>104</v>
      </c>
      <c r="B11" s="3" t="s">
        <v>84</v>
      </c>
      <c r="C11" s="3" t="s">
        <v>98</v>
      </c>
      <c r="D11" s="3" t="s">
        <v>77</v>
      </c>
      <c r="E11" s="2" t="s">
        <v>105</v>
      </c>
      <c r="F11" s="2" t="s">
        <v>106</v>
      </c>
    </row>
    <row r="12" spans="1:6" ht="40.5" customHeight="1">
      <c r="A12" s="3" t="s">
        <v>107</v>
      </c>
      <c r="B12" s="3" t="s">
        <v>75</v>
      </c>
      <c r="C12" s="3" t="s">
        <v>108</v>
      </c>
      <c r="D12" s="3" t="s">
        <v>77</v>
      </c>
      <c r="E12" s="2" t="s">
        <v>109</v>
      </c>
      <c r="F12" s="2" t="s">
        <v>110</v>
      </c>
    </row>
    <row r="13" spans="1:6" ht="51" customHeight="1">
      <c r="A13" s="3" t="s">
        <v>111</v>
      </c>
      <c r="B13" s="3" t="s">
        <v>75</v>
      </c>
      <c r="C13" s="3" t="s">
        <v>108</v>
      </c>
      <c r="D13" s="3" t="s">
        <v>77</v>
      </c>
      <c r="E13" s="2" t="s">
        <v>112</v>
      </c>
      <c r="F13" s="2" t="s">
        <v>113</v>
      </c>
    </row>
    <row r="14" spans="1:6" ht="15" customHeight="1">
      <c r="A14" s="3" t="s">
        <v>114</v>
      </c>
      <c r="B14" s="3" t="s">
        <v>75</v>
      </c>
      <c r="C14" s="3" t="s">
        <v>108</v>
      </c>
      <c r="D14" s="3" t="s">
        <v>77</v>
      </c>
      <c r="E14" s="2" t="s">
        <v>115</v>
      </c>
      <c r="F14" s="2" t="s">
        <v>116</v>
      </c>
    </row>
    <row r="15" spans="1:6" ht="66.75" customHeight="1">
      <c r="A15" s="3" t="s">
        <v>117</v>
      </c>
      <c r="B15" s="3" t="s">
        <v>84</v>
      </c>
      <c r="C15" s="3" t="s">
        <v>108</v>
      </c>
      <c r="D15" s="3" t="s">
        <v>77</v>
      </c>
      <c r="E15" s="2" t="s">
        <v>118</v>
      </c>
      <c r="F15" s="2" t="s">
        <v>119</v>
      </c>
    </row>
    <row r="16" spans="1:6" ht="58.5" customHeight="1">
      <c r="A16" s="3" t="s">
        <v>120</v>
      </c>
      <c r="B16" s="3" t="s">
        <v>84</v>
      </c>
      <c r="C16" s="3" t="s">
        <v>121</v>
      </c>
      <c r="D16" s="3" t="s">
        <v>77</v>
      </c>
      <c r="E16" s="2" t="s">
        <v>122</v>
      </c>
      <c r="F16" s="2" t="s">
        <v>123</v>
      </c>
    </row>
    <row r="17" spans="1:6" ht="69.75" customHeight="1">
      <c r="A17" s="3" t="s">
        <v>124</v>
      </c>
      <c r="B17" s="3" t="s">
        <v>84</v>
      </c>
      <c r="C17" s="3" t="s">
        <v>121</v>
      </c>
      <c r="D17" s="3" t="s">
        <v>77</v>
      </c>
      <c r="E17" s="2" t="s">
        <v>125</v>
      </c>
      <c r="F17" s="2" t="s">
        <v>126</v>
      </c>
    </row>
    <row r="18" spans="1:6" ht="51.75" customHeight="1">
      <c r="A18" s="3" t="s">
        <v>127</v>
      </c>
      <c r="B18" s="3" t="s">
        <v>84</v>
      </c>
      <c r="C18" s="3" t="s">
        <v>121</v>
      </c>
      <c r="D18" s="3" t="s">
        <v>77</v>
      </c>
      <c r="E18" s="2" t="s">
        <v>128</v>
      </c>
      <c r="F18" s="2" t="s">
        <v>129</v>
      </c>
    </row>
    <row r="19" spans="1:6" ht="83.25" customHeight="1">
      <c r="A19" s="3" t="s">
        <v>130</v>
      </c>
      <c r="B19" s="3" t="s">
        <v>84</v>
      </c>
      <c r="C19" s="3" t="s">
        <v>131</v>
      </c>
      <c r="D19" s="3" t="s">
        <v>132</v>
      </c>
      <c r="E19" s="2" t="s">
        <v>133</v>
      </c>
      <c r="F19" s="2" t="s">
        <v>134</v>
      </c>
    </row>
    <row r="20" spans="1:6" ht="63.75" customHeight="1">
      <c r="A20" s="3" t="s">
        <v>135</v>
      </c>
      <c r="B20" s="3" t="s">
        <v>84</v>
      </c>
      <c r="C20" s="3" t="s">
        <v>131</v>
      </c>
      <c r="D20" s="3" t="s">
        <v>132</v>
      </c>
      <c r="E20" s="2" t="s">
        <v>136</v>
      </c>
      <c r="F20" s="2" t="s">
        <v>137</v>
      </c>
    </row>
    <row r="21" spans="1:6" ht="54" customHeight="1">
      <c r="A21" s="3" t="s">
        <v>138</v>
      </c>
      <c r="B21" s="3" t="s">
        <v>75</v>
      </c>
      <c r="C21" s="3" t="s">
        <v>139</v>
      </c>
      <c r="D21" s="3" t="s">
        <v>77</v>
      </c>
      <c r="E21" s="2" t="s">
        <v>140</v>
      </c>
      <c r="F21" s="2" t="s">
        <v>141</v>
      </c>
    </row>
    <row r="22" spans="1:6" ht="51.75" customHeight="1">
      <c r="A22" s="3" t="s">
        <v>142</v>
      </c>
      <c r="B22" s="3" t="s">
        <v>84</v>
      </c>
      <c r="C22" s="3" t="s">
        <v>139</v>
      </c>
      <c r="D22" s="3" t="s">
        <v>77</v>
      </c>
      <c r="E22" s="2" t="s">
        <v>143</v>
      </c>
      <c r="F22" s="2" t="s">
        <v>144</v>
      </c>
    </row>
    <row r="23" spans="1:6" ht="72" customHeight="1">
      <c r="A23" s="3" t="s">
        <v>145</v>
      </c>
      <c r="B23" s="3" t="s">
        <v>84</v>
      </c>
      <c r="C23" s="3" t="s">
        <v>146</v>
      </c>
      <c r="D23" s="3" t="s">
        <v>77</v>
      </c>
      <c r="E23" s="2" t="s">
        <v>147</v>
      </c>
      <c r="F23" s="2" t="s">
        <v>148</v>
      </c>
    </row>
    <row r="24" spans="1:6" ht="71.25" customHeight="1">
      <c r="A24" s="3" t="s">
        <v>149</v>
      </c>
      <c r="B24" s="3" t="s">
        <v>84</v>
      </c>
      <c r="C24" s="3" t="s">
        <v>88</v>
      </c>
      <c r="D24" s="3" t="s">
        <v>77</v>
      </c>
      <c r="E24" s="2" t="s">
        <v>150</v>
      </c>
      <c r="F24" s="2" t="s">
        <v>151</v>
      </c>
    </row>
    <row r="25" spans="1:6" ht="69.75" customHeight="1">
      <c r="A25" s="3" t="s">
        <v>152</v>
      </c>
      <c r="B25" s="3" t="s">
        <v>84</v>
      </c>
      <c r="C25" s="3" t="s">
        <v>121</v>
      </c>
      <c r="D25" s="3" t="s">
        <v>77</v>
      </c>
      <c r="E25" s="2" t="s">
        <v>153</v>
      </c>
      <c r="F25" s="2" t="s">
        <v>154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2"/>
  <sheetViews>
    <sheetView topLeftCell="A40" workbookViewId="0">
      <selection activeCell="F12" sqref="F12"/>
    </sheetView>
  </sheetViews>
  <sheetFormatPr defaultRowHeight="14.25"/>
  <cols>
    <col min="1" max="1" width="12" customWidth="1"/>
    <col min="2" max="2" width="28" customWidth="1"/>
    <col min="3" max="3" width="38" customWidth="1"/>
    <col min="4" max="4" width="12" customWidth="1"/>
    <col min="5" max="5" width="26" customWidth="1"/>
    <col min="6" max="6" width="55" customWidth="1"/>
  </cols>
  <sheetData>
    <row r="1" spans="1:6" ht="27.95" customHeight="1">
      <c r="A1" s="5" t="s">
        <v>155</v>
      </c>
      <c r="B1" s="5"/>
      <c r="C1" s="5"/>
      <c r="D1" s="5"/>
      <c r="E1" s="5"/>
      <c r="F1" s="5"/>
    </row>
    <row r="2" spans="1:6" ht="15" customHeight="1">
      <c r="A2" s="1" t="s">
        <v>156</v>
      </c>
      <c r="B2" s="1" t="s">
        <v>157</v>
      </c>
      <c r="C2" s="1" t="s">
        <v>158</v>
      </c>
      <c r="D2" s="1" t="s">
        <v>159</v>
      </c>
      <c r="E2" s="1" t="s">
        <v>160</v>
      </c>
      <c r="F2" s="1" t="s">
        <v>161</v>
      </c>
    </row>
    <row r="3" spans="1:6" ht="15" customHeight="1">
      <c r="A3" s="3" t="s">
        <v>162</v>
      </c>
      <c r="B3" s="2" t="s">
        <v>163</v>
      </c>
      <c r="C3" s="2" t="s">
        <v>164</v>
      </c>
      <c r="D3" s="3" t="s">
        <v>165</v>
      </c>
      <c r="E3" s="3" t="s">
        <v>74</v>
      </c>
      <c r="F3" s="2" t="s">
        <v>166</v>
      </c>
    </row>
    <row r="4" spans="1:6" ht="15" customHeight="1">
      <c r="A4" s="3" t="s">
        <v>167</v>
      </c>
      <c r="B4" s="2" t="s">
        <v>168</v>
      </c>
      <c r="C4" s="2" t="s">
        <v>169</v>
      </c>
      <c r="D4" s="3" t="s">
        <v>170</v>
      </c>
      <c r="E4" s="3" t="s">
        <v>74</v>
      </c>
      <c r="F4" s="2" t="s">
        <v>171</v>
      </c>
    </row>
    <row r="5" spans="1:6" ht="15" customHeight="1">
      <c r="A5" s="3" t="s">
        <v>172</v>
      </c>
      <c r="B5" s="2" t="s">
        <v>173</v>
      </c>
      <c r="C5" s="2" t="s">
        <v>174</v>
      </c>
      <c r="D5" s="3" t="s">
        <v>165</v>
      </c>
      <c r="E5" s="3" t="s">
        <v>80</v>
      </c>
      <c r="F5" s="2" t="s">
        <v>175</v>
      </c>
    </row>
    <row r="6" spans="1:6" ht="15" customHeight="1">
      <c r="A6" s="3" t="s">
        <v>176</v>
      </c>
      <c r="B6" s="2" t="s">
        <v>177</v>
      </c>
      <c r="C6" s="2" t="s">
        <v>178</v>
      </c>
      <c r="D6" s="3" t="s">
        <v>170</v>
      </c>
      <c r="E6" s="3" t="s">
        <v>80</v>
      </c>
      <c r="F6" s="2" t="s">
        <v>179</v>
      </c>
    </row>
    <row r="7" spans="1:6" ht="15" customHeight="1">
      <c r="A7" s="3" t="s">
        <v>180</v>
      </c>
      <c r="B7" s="2" t="s">
        <v>181</v>
      </c>
      <c r="C7" s="2" t="s">
        <v>182</v>
      </c>
      <c r="D7" s="3" t="s">
        <v>165</v>
      </c>
      <c r="E7" s="3" t="s">
        <v>83</v>
      </c>
      <c r="F7" s="2" t="s">
        <v>183</v>
      </c>
    </row>
    <row r="8" spans="1:6" ht="15" customHeight="1">
      <c r="A8" s="3" t="s">
        <v>184</v>
      </c>
      <c r="B8" s="2" t="s">
        <v>185</v>
      </c>
      <c r="C8" s="2" t="s">
        <v>186</v>
      </c>
      <c r="D8" s="3" t="s">
        <v>170</v>
      </c>
      <c r="E8" s="3" t="s">
        <v>83</v>
      </c>
      <c r="F8" s="2" t="s">
        <v>187</v>
      </c>
    </row>
    <row r="9" spans="1:6" ht="15" customHeight="1">
      <c r="A9" s="3" t="s">
        <v>188</v>
      </c>
      <c r="B9" s="2" t="s">
        <v>189</v>
      </c>
      <c r="C9" s="2" t="s">
        <v>190</v>
      </c>
      <c r="D9" s="3" t="s">
        <v>165</v>
      </c>
      <c r="E9" s="3" t="s">
        <v>87</v>
      </c>
      <c r="F9" s="2" t="s">
        <v>191</v>
      </c>
    </row>
    <row r="10" spans="1:6" ht="15" customHeight="1">
      <c r="A10" s="3" t="s">
        <v>192</v>
      </c>
      <c r="B10" s="2" t="s">
        <v>193</v>
      </c>
      <c r="C10" s="2" t="s">
        <v>194</v>
      </c>
      <c r="D10" s="3" t="s">
        <v>170</v>
      </c>
      <c r="E10" s="3" t="s">
        <v>87</v>
      </c>
      <c r="F10" s="2" t="s">
        <v>195</v>
      </c>
    </row>
    <row r="11" spans="1:6" ht="15" customHeight="1">
      <c r="A11" s="3" t="s">
        <v>196</v>
      </c>
      <c r="B11" s="2" t="s">
        <v>197</v>
      </c>
      <c r="C11" s="2" t="s">
        <v>198</v>
      </c>
      <c r="D11" s="3" t="s">
        <v>165</v>
      </c>
      <c r="E11" s="3" t="s">
        <v>91</v>
      </c>
      <c r="F11" s="2" t="s">
        <v>199</v>
      </c>
    </row>
    <row r="12" spans="1:6" ht="15" customHeight="1">
      <c r="A12" s="3" t="s">
        <v>200</v>
      </c>
      <c r="B12" s="2" t="s">
        <v>201</v>
      </c>
      <c r="C12" s="2" t="s">
        <v>202</v>
      </c>
      <c r="D12" s="3" t="s">
        <v>170</v>
      </c>
      <c r="E12" s="3" t="s">
        <v>91</v>
      </c>
      <c r="F12" s="2" t="s">
        <v>203</v>
      </c>
    </row>
    <row r="13" spans="1:6" ht="15" customHeight="1">
      <c r="A13" s="3" t="s">
        <v>204</v>
      </c>
      <c r="B13" s="2" t="s">
        <v>205</v>
      </c>
      <c r="C13" s="2" t="s">
        <v>206</v>
      </c>
      <c r="D13" s="3" t="s">
        <v>165</v>
      </c>
      <c r="E13" s="3" t="s">
        <v>94</v>
      </c>
      <c r="F13" s="2" t="s">
        <v>207</v>
      </c>
    </row>
    <row r="14" spans="1:6" ht="15" customHeight="1">
      <c r="A14" s="3" t="s">
        <v>208</v>
      </c>
      <c r="B14" s="2" t="s">
        <v>209</v>
      </c>
      <c r="C14" s="2" t="s">
        <v>210</v>
      </c>
      <c r="D14" s="3" t="s">
        <v>170</v>
      </c>
      <c r="E14" s="3" t="s">
        <v>94</v>
      </c>
      <c r="F14" s="2" t="s">
        <v>211</v>
      </c>
    </row>
    <row r="15" spans="1:6" ht="15" customHeight="1">
      <c r="A15" s="3" t="s">
        <v>212</v>
      </c>
      <c r="B15" s="2" t="s">
        <v>213</v>
      </c>
      <c r="C15" s="2" t="s">
        <v>214</v>
      </c>
      <c r="D15" s="3" t="s">
        <v>165</v>
      </c>
      <c r="E15" s="3" t="s">
        <v>97</v>
      </c>
      <c r="F15" s="2" t="s">
        <v>215</v>
      </c>
    </row>
    <row r="16" spans="1:6" ht="15" customHeight="1">
      <c r="A16" s="3" t="s">
        <v>216</v>
      </c>
      <c r="B16" s="2" t="s">
        <v>217</v>
      </c>
      <c r="C16" s="2" t="s">
        <v>218</v>
      </c>
      <c r="D16" s="3" t="s">
        <v>170</v>
      </c>
      <c r="E16" s="3" t="s">
        <v>97</v>
      </c>
      <c r="F16" s="2" t="s">
        <v>219</v>
      </c>
    </row>
    <row r="17" spans="1:6" ht="15" customHeight="1">
      <c r="A17" s="3" t="s">
        <v>220</v>
      </c>
      <c r="B17" s="2" t="s">
        <v>221</v>
      </c>
      <c r="C17" s="2" t="s">
        <v>222</v>
      </c>
      <c r="D17" s="3" t="s">
        <v>165</v>
      </c>
      <c r="E17" s="3" t="s">
        <v>101</v>
      </c>
      <c r="F17" s="2" t="s">
        <v>223</v>
      </c>
    </row>
    <row r="18" spans="1:6" ht="15" customHeight="1">
      <c r="A18" s="3" t="s">
        <v>224</v>
      </c>
      <c r="B18" s="2" t="s">
        <v>225</v>
      </c>
      <c r="C18" s="2" t="s">
        <v>226</v>
      </c>
      <c r="D18" s="3" t="s">
        <v>170</v>
      </c>
      <c r="E18" s="3" t="s">
        <v>101</v>
      </c>
      <c r="F18" s="2" t="s">
        <v>227</v>
      </c>
    </row>
    <row r="19" spans="1:6" ht="15" customHeight="1">
      <c r="A19" s="3" t="s">
        <v>228</v>
      </c>
      <c r="B19" s="2" t="s">
        <v>229</v>
      </c>
      <c r="C19" s="2" t="s">
        <v>230</v>
      </c>
      <c r="D19" s="3" t="s">
        <v>165</v>
      </c>
      <c r="E19" s="3" t="s">
        <v>104</v>
      </c>
      <c r="F19" s="2" t="s">
        <v>231</v>
      </c>
    </row>
    <row r="20" spans="1:6" ht="15" customHeight="1">
      <c r="A20" s="3" t="s">
        <v>232</v>
      </c>
      <c r="B20" s="2" t="s">
        <v>233</v>
      </c>
      <c r="C20" s="2" t="s">
        <v>234</v>
      </c>
      <c r="D20" s="3" t="s">
        <v>170</v>
      </c>
      <c r="E20" s="3" t="s">
        <v>104</v>
      </c>
      <c r="F20" s="2" t="s">
        <v>235</v>
      </c>
    </row>
    <row r="21" spans="1:6" ht="15" customHeight="1">
      <c r="A21" s="3" t="s">
        <v>236</v>
      </c>
      <c r="B21" s="2" t="s">
        <v>237</v>
      </c>
      <c r="C21" s="2" t="s">
        <v>238</v>
      </c>
      <c r="D21" s="3" t="s">
        <v>165</v>
      </c>
      <c r="E21" s="3" t="s">
        <v>107</v>
      </c>
      <c r="F21" s="2" t="s">
        <v>239</v>
      </c>
    </row>
    <row r="22" spans="1:6" ht="15" customHeight="1">
      <c r="A22" s="3" t="s">
        <v>240</v>
      </c>
      <c r="B22" s="2" t="s">
        <v>241</v>
      </c>
      <c r="C22" s="2" t="s">
        <v>242</v>
      </c>
      <c r="D22" s="3" t="s">
        <v>170</v>
      </c>
      <c r="E22" s="3" t="s">
        <v>107</v>
      </c>
      <c r="F22" s="2" t="s">
        <v>243</v>
      </c>
    </row>
    <row r="23" spans="1:6" ht="15" customHeight="1">
      <c r="A23" s="3" t="s">
        <v>244</v>
      </c>
      <c r="B23" s="2" t="s">
        <v>245</v>
      </c>
      <c r="C23" s="2" t="s">
        <v>246</v>
      </c>
      <c r="D23" s="3" t="s">
        <v>165</v>
      </c>
      <c r="E23" s="3" t="s">
        <v>111</v>
      </c>
      <c r="F23" s="2" t="s">
        <v>247</v>
      </c>
    </row>
    <row r="24" spans="1:6" ht="15" customHeight="1">
      <c r="A24" s="3" t="s">
        <v>248</v>
      </c>
      <c r="B24" s="2" t="s">
        <v>249</v>
      </c>
      <c r="C24" s="2" t="s">
        <v>250</v>
      </c>
      <c r="D24" s="3" t="s">
        <v>170</v>
      </c>
      <c r="E24" s="3" t="s">
        <v>111</v>
      </c>
      <c r="F24" s="2" t="s">
        <v>251</v>
      </c>
    </row>
    <row r="25" spans="1:6" ht="15" customHeight="1">
      <c r="A25" s="3" t="s">
        <v>252</v>
      </c>
      <c r="B25" s="2" t="s">
        <v>253</v>
      </c>
      <c r="C25" s="2" t="s">
        <v>254</v>
      </c>
      <c r="D25" s="3" t="s">
        <v>165</v>
      </c>
      <c r="E25" s="3" t="s">
        <v>114</v>
      </c>
      <c r="F25" s="2" t="s">
        <v>255</v>
      </c>
    </row>
    <row r="26" spans="1:6" ht="15" customHeight="1">
      <c r="A26" s="3" t="s">
        <v>256</v>
      </c>
      <c r="B26" s="2" t="s">
        <v>257</v>
      </c>
      <c r="C26" s="2" t="s">
        <v>258</v>
      </c>
      <c r="D26" s="3" t="s">
        <v>170</v>
      </c>
      <c r="E26" s="3" t="s">
        <v>114</v>
      </c>
      <c r="F26" s="2" t="s">
        <v>259</v>
      </c>
    </row>
    <row r="27" spans="1:6" ht="15" customHeight="1">
      <c r="A27" s="3" t="s">
        <v>260</v>
      </c>
      <c r="B27" s="2" t="s">
        <v>261</v>
      </c>
      <c r="C27" s="2" t="s">
        <v>262</v>
      </c>
      <c r="D27" s="3" t="s">
        <v>165</v>
      </c>
      <c r="E27" s="3" t="s">
        <v>117</v>
      </c>
      <c r="F27" s="2" t="s">
        <v>263</v>
      </c>
    </row>
    <row r="28" spans="1:6" ht="15" customHeight="1">
      <c r="A28" s="3" t="s">
        <v>264</v>
      </c>
      <c r="B28" s="2" t="s">
        <v>265</v>
      </c>
      <c r="C28" s="2" t="s">
        <v>266</v>
      </c>
      <c r="D28" s="3" t="s">
        <v>170</v>
      </c>
      <c r="E28" s="3" t="s">
        <v>117</v>
      </c>
      <c r="F28" s="2" t="s">
        <v>267</v>
      </c>
    </row>
    <row r="29" spans="1:6" ht="15" customHeight="1">
      <c r="A29" s="3" t="s">
        <v>268</v>
      </c>
      <c r="B29" s="2" t="s">
        <v>269</v>
      </c>
      <c r="C29" s="2" t="s">
        <v>270</v>
      </c>
      <c r="D29" s="3" t="s">
        <v>165</v>
      </c>
      <c r="E29" s="3" t="s">
        <v>120</v>
      </c>
      <c r="F29" s="2" t="s">
        <v>271</v>
      </c>
    </row>
    <row r="30" spans="1:6" ht="15" customHeight="1">
      <c r="A30" s="3" t="s">
        <v>272</v>
      </c>
      <c r="B30" s="2" t="s">
        <v>273</v>
      </c>
      <c r="C30" s="2" t="s">
        <v>274</v>
      </c>
      <c r="D30" s="3" t="s">
        <v>170</v>
      </c>
      <c r="E30" s="3" t="s">
        <v>120</v>
      </c>
      <c r="F30" s="2" t="s">
        <v>275</v>
      </c>
    </row>
    <row r="31" spans="1:6" ht="15" customHeight="1">
      <c r="A31" s="3" t="s">
        <v>276</v>
      </c>
      <c r="B31" s="2" t="s">
        <v>277</v>
      </c>
      <c r="C31" s="2" t="s">
        <v>278</v>
      </c>
      <c r="D31" s="3" t="s">
        <v>165</v>
      </c>
      <c r="E31" s="3" t="s">
        <v>124</v>
      </c>
      <c r="F31" s="2" t="s">
        <v>279</v>
      </c>
    </row>
    <row r="32" spans="1:6" ht="15" customHeight="1">
      <c r="A32" s="3" t="s">
        <v>280</v>
      </c>
      <c r="B32" s="2" t="s">
        <v>281</v>
      </c>
      <c r="C32" s="2" t="s">
        <v>282</v>
      </c>
      <c r="D32" s="3" t="s">
        <v>170</v>
      </c>
      <c r="E32" s="3" t="s">
        <v>124</v>
      </c>
      <c r="F32" s="2" t="s">
        <v>283</v>
      </c>
    </row>
    <row r="33" spans="1:6" ht="15" customHeight="1">
      <c r="A33" s="3" t="s">
        <v>284</v>
      </c>
      <c r="B33" s="2" t="s">
        <v>285</v>
      </c>
      <c r="C33" s="2" t="s">
        <v>286</v>
      </c>
      <c r="D33" s="3" t="s">
        <v>165</v>
      </c>
      <c r="E33" s="3" t="s">
        <v>127</v>
      </c>
      <c r="F33" s="2" t="s">
        <v>287</v>
      </c>
    </row>
    <row r="34" spans="1:6" ht="26.45" customHeight="1">
      <c r="A34" s="3" t="s">
        <v>288</v>
      </c>
      <c r="B34" s="2" t="s">
        <v>289</v>
      </c>
      <c r="C34" s="2" t="s">
        <v>290</v>
      </c>
      <c r="D34" s="3" t="s">
        <v>170</v>
      </c>
      <c r="E34" s="3" t="s">
        <v>127</v>
      </c>
      <c r="F34" s="2" t="s">
        <v>291</v>
      </c>
    </row>
    <row r="35" spans="1:6" ht="15" customHeight="1">
      <c r="A35" s="3" t="s">
        <v>292</v>
      </c>
      <c r="B35" s="2" t="s">
        <v>293</v>
      </c>
      <c r="C35" s="2" t="s">
        <v>294</v>
      </c>
      <c r="D35" s="3" t="s">
        <v>165</v>
      </c>
      <c r="E35" s="3" t="s">
        <v>130</v>
      </c>
      <c r="F35" s="2" t="s">
        <v>295</v>
      </c>
    </row>
    <row r="36" spans="1:6" ht="26.45" customHeight="1">
      <c r="A36" s="3" t="s">
        <v>296</v>
      </c>
      <c r="B36" s="2" t="s">
        <v>297</v>
      </c>
      <c r="C36" s="2" t="s">
        <v>298</v>
      </c>
      <c r="D36" s="3" t="s">
        <v>170</v>
      </c>
      <c r="E36" s="3" t="s">
        <v>130</v>
      </c>
      <c r="F36" s="2" t="s">
        <v>299</v>
      </c>
    </row>
    <row r="37" spans="1:6" ht="15" customHeight="1">
      <c r="A37" s="3" t="s">
        <v>300</v>
      </c>
      <c r="B37" s="2" t="s">
        <v>301</v>
      </c>
      <c r="C37" s="2" t="s">
        <v>302</v>
      </c>
      <c r="D37" s="3" t="s">
        <v>165</v>
      </c>
      <c r="E37" s="3" t="s">
        <v>135</v>
      </c>
      <c r="F37" s="2" t="s">
        <v>303</v>
      </c>
    </row>
    <row r="38" spans="1:6" ht="26.45" customHeight="1">
      <c r="A38" s="3" t="s">
        <v>304</v>
      </c>
      <c r="B38" s="2" t="s">
        <v>305</v>
      </c>
      <c r="C38" s="2" t="s">
        <v>306</v>
      </c>
      <c r="D38" s="3" t="s">
        <v>170</v>
      </c>
      <c r="E38" s="3" t="s">
        <v>135</v>
      </c>
      <c r="F38" s="2" t="s">
        <v>307</v>
      </c>
    </row>
    <row r="39" spans="1:6" ht="15" customHeight="1">
      <c r="A39" s="3" t="s">
        <v>308</v>
      </c>
      <c r="B39" s="2" t="s">
        <v>309</v>
      </c>
      <c r="C39" s="2" t="s">
        <v>310</v>
      </c>
      <c r="D39" s="3" t="s">
        <v>165</v>
      </c>
      <c r="E39" s="3" t="s">
        <v>138</v>
      </c>
      <c r="F39" s="2" t="s">
        <v>311</v>
      </c>
    </row>
    <row r="40" spans="1:6" ht="15" customHeight="1">
      <c r="A40" s="3" t="s">
        <v>312</v>
      </c>
      <c r="B40" s="2" t="s">
        <v>313</v>
      </c>
      <c r="C40" s="2" t="s">
        <v>314</v>
      </c>
      <c r="D40" s="3" t="s">
        <v>170</v>
      </c>
      <c r="E40" s="3" t="s">
        <v>138</v>
      </c>
      <c r="F40" s="2" t="s">
        <v>315</v>
      </c>
    </row>
    <row r="41" spans="1:6" ht="15" customHeight="1">
      <c r="A41" s="3" t="s">
        <v>316</v>
      </c>
      <c r="B41" s="2" t="s">
        <v>317</v>
      </c>
      <c r="C41" s="2" t="s">
        <v>318</v>
      </c>
      <c r="D41" s="3" t="s">
        <v>165</v>
      </c>
      <c r="E41" s="3" t="s">
        <v>142</v>
      </c>
      <c r="F41" s="2" t="s">
        <v>319</v>
      </c>
    </row>
    <row r="42" spans="1:6" ht="15" customHeight="1">
      <c r="A42" s="3" t="s">
        <v>320</v>
      </c>
      <c r="B42" s="2" t="s">
        <v>321</v>
      </c>
      <c r="C42" s="2" t="s">
        <v>322</v>
      </c>
      <c r="D42" s="3" t="s">
        <v>170</v>
      </c>
      <c r="E42" s="3" t="s">
        <v>142</v>
      </c>
      <c r="F42" s="2" t="s">
        <v>323</v>
      </c>
    </row>
    <row r="43" spans="1:6" ht="15" customHeight="1">
      <c r="A43" s="3" t="s">
        <v>324</v>
      </c>
      <c r="B43" s="2" t="s">
        <v>325</v>
      </c>
      <c r="C43" s="2" t="s">
        <v>326</v>
      </c>
      <c r="D43" s="3" t="s">
        <v>165</v>
      </c>
      <c r="E43" s="3" t="s">
        <v>145</v>
      </c>
      <c r="F43" s="2" t="s">
        <v>327</v>
      </c>
    </row>
    <row r="44" spans="1:6" ht="15" customHeight="1">
      <c r="A44" s="3" t="s">
        <v>328</v>
      </c>
      <c r="B44" s="2" t="s">
        <v>329</v>
      </c>
      <c r="C44" s="2" t="s">
        <v>330</v>
      </c>
      <c r="D44" s="3" t="s">
        <v>170</v>
      </c>
      <c r="E44" s="3" t="s">
        <v>145</v>
      </c>
      <c r="F44" s="2" t="s">
        <v>331</v>
      </c>
    </row>
    <row r="45" spans="1:6" ht="15" customHeight="1">
      <c r="A45" s="3" t="s">
        <v>332</v>
      </c>
      <c r="B45" s="2" t="s">
        <v>333</v>
      </c>
      <c r="C45" s="2" t="s">
        <v>334</v>
      </c>
      <c r="D45" s="3" t="s">
        <v>165</v>
      </c>
      <c r="E45" s="3" t="s">
        <v>149</v>
      </c>
      <c r="F45" s="2" t="s">
        <v>335</v>
      </c>
    </row>
    <row r="46" spans="1:6" ht="26.45" customHeight="1">
      <c r="A46" s="3" t="s">
        <v>336</v>
      </c>
      <c r="B46" s="2" t="s">
        <v>337</v>
      </c>
      <c r="C46" s="2" t="s">
        <v>338</v>
      </c>
      <c r="D46" s="3" t="s">
        <v>170</v>
      </c>
      <c r="E46" s="3" t="s">
        <v>149</v>
      </c>
      <c r="F46" s="2" t="s">
        <v>339</v>
      </c>
    </row>
    <row r="47" spans="1:6" ht="15" customHeight="1">
      <c r="A47" s="3" t="s">
        <v>340</v>
      </c>
      <c r="B47" s="2" t="s">
        <v>341</v>
      </c>
      <c r="C47" s="2" t="s">
        <v>342</v>
      </c>
      <c r="D47" s="3" t="s">
        <v>165</v>
      </c>
      <c r="E47" s="3" t="s">
        <v>152</v>
      </c>
      <c r="F47" s="2" t="s">
        <v>343</v>
      </c>
    </row>
    <row r="48" spans="1:6" ht="26.45" customHeight="1">
      <c r="A48" s="3" t="s">
        <v>344</v>
      </c>
      <c r="B48" s="2" t="s">
        <v>345</v>
      </c>
      <c r="C48" s="2" t="s">
        <v>346</v>
      </c>
      <c r="D48" s="3" t="s">
        <v>170</v>
      </c>
      <c r="E48" s="3" t="s">
        <v>152</v>
      </c>
      <c r="F48" s="2" t="s">
        <v>347</v>
      </c>
    </row>
    <row r="49" spans="1:6" ht="26.45" customHeight="1">
      <c r="A49" s="3" t="s">
        <v>348</v>
      </c>
      <c r="B49" s="2" t="s">
        <v>349</v>
      </c>
      <c r="C49" s="2" t="s">
        <v>350</v>
      </c>
      <c r="D49" s="3" t="s">
        <v>165</v>
      </c>
      <c r="E49" s="3"/>
      <c r="F49" s="2" t="s">
        <v>351</v>
      </c>
    </row>
    <row r="50" spans="1:6" ht="26.45" customHeight="1">
      <c r="A50" s="3" t="s">
        <v>352</v>
      </c>
      <c r="B50" s="2" t="s">
        <v>353</v>
      </c>
      <c r="C50" s="2" t="s">
        <v>354</v>
      </c>
      <c r="D50" s="3" t="s">
        <v>165</v>
      </c>
      <c r="E50" s="3"/>
      <c r="F50" s="2" t="s">
        <v>355</v>
      </c>
    </row>
    <row r="51" spans="1:6" ht="26.45" customHeight="1">
      <c r="A51" s="3" t="s">
        <v>356</v>
      </c>
      <c r="B51" s="2" t="s">
        <v>357</v>
      </c>
      <c r="C51" s="2" t="s">
        <v>358</v>
      </c>
      <c r="D51" s="3" t="s">
        <v>170</v>
      </c>
      <c r="E51" s="3" t="s">
        <v>359</v>
      </c>
      <c r="F51" s="2" t="s">
        <v>360</v>
      </c>
    </row>
    <row r="52" spans="1:6" ht="15" customHeight="1">
      <c r="A52" s="3" t="s">
        <v>361</v>
      </c>
      <c r="B52" s="2" t="s">
        <v>362</v>
      </c>
      <c r="C52" s="2" t="s">
        <v>363</v>
      </c>
      <c r="D52" s="3" t="s">
        <v>170</v>
      </c>
      <c r="E52" s="3" t="s">
        <v>364</v>
      </c>
      <c r="F52" s="2" t="s">
        <v>365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1"/>
  <sheetViews>
    <sheetView workbookViewId="0">
      <selection activeCell="A81" sqref="A81"/>
    </sheetView>
  </sheetViews>
  <sheetFormatPr defaultRowHeight="14.25"/>
  <cols>
    <col min="1" max="1" width="8" customWidth="1"/>
    <col min="2" max="2" width="12" customWidth="1"/>
    <col min="3" max="3" width="86" customWidth="1"/>
    <col min="4" max="4" width="16" customWidth="1"/>
  </cols>
  <sheetData>
    <row r="1" spans="1:4" ht="27.95" customHeight="1">
      <c r="A1" s="5" t="s">
        <v>366</v>
      </c>
      <c r="B1" s="5"/>
      <c r="C1" s="5"/>
      <c r="D1" s="5"/>
    </row>
    <row r="2" spans="1:4" ht="26.45" customHeight="1">
      <c r="A2" s="1" t="s">
        <v>37</v>
      </c>
      <c r="B2" s="1" t="s">
        <v>367</v>
      </c>
      <c r="C2" s="1" t="s">
        <v>368</v>
      </c>
    </row>
    <row r="3" spans="1:4" ht="15" customHeight="1">
      <c r="A3" s="3">
        <v>1</v>
      </c>
      <c r="B3" s="3" t="s">
        <v>369</v>
      </c>
      <c r="C3" s="2" t="s">
        <v>370</v>
      </c>
    </row>
    <row r="4" spans="1:4" ht="15" customHeight="1">
      <c r="A4" s="3">
        <v>2</v>
      </c>
      <c r="B4" s="3" t="s">
        <v>369</v>
      </c>
      <c r="C4" s="2" t="s">
        <v>371</v>
      </c>
      <c r="D4" s="2"/>
    </row>
    <row r="5" spans="1:4" ht="15" customHeight="1">
      <c r="A5" s="3">
        <v>3</v>
      </c>
      <c r="B5" s="3" t="s">
        <v>369</v>
      </c>
      <c r="C5" s="2" t="s">
        <v>372</v>
      </c>
    </row>
    <row r="6" spans="1:4" ht="15" customHeight="1">
      <c r="A6" s="3">
        <v>4</v>
      </c>
      <c r="B6" s="3" t="s">
        <v>369</v>
      </c>
      <c r="C6" s="2" t="s">
        <v>373</v>
      </c>
    </row>
    <row r="7" spans="1:4" ht="15" customHeight="1">
      <c r="A7" s="3">
        <v>5</v>
      </c>
      <c r="B7" s="3" t="s">
        <v>369</v>
      </c>
      <c r="C7" s="2" t="s">
        <v>374</v>
      </c>
    </row>
    <row r="8" spans="1:4" ht="15" customHeight="1">
      <c r="A8" s="3">
        <v>6</v>
      </c>
      <c r="B8" s="3" t="s">
        <v>369</v>
      </c>
      <c r="C8" s="2" t="s">
        <v>375</v>
      </c>
    </row>
    <row r="9" spans="1:4" ht="15" customHeight="1">
      <c r="A9" s="3">
        <v>7</v>
      </c>
      <c r="B9" s="3" t="s">
        <v>369</v>
      </c>
      <c r="C9" s="2" t="s">
        <v>376</v>
      </c>
    </row>
    <row r="10" spans="1:4" ht="15" customHeight="1">
      <c r="A10" s="3">
        <v>8</v>
      </c>
      <c r="B10" s="3" t="s">
        <v>369</v>
      </c>
      <c r="C10" s="2" t="s">
        <v>377</v>
      </c>
    </row>
    <row r="11" spans="1:4" ht="15" customHeight="1">
      <c r="A11" s="3">
        <v>9</v>
      </c>
      <c r="B11" s="3" t="s">
        <v>369</v>
      </c>
      <c r="C11" s="2" t="s">
        <v>378</v>
      </c>
    </row>
    <row r="12" spans="1:4" ht="15" customHeight="1">
      <c r="A12" s="3">
        <v>10</v>
      </c>
      <c r="B12" s="3" t="s">
        <v>369</v>
      </c>
      <c r="C12" s="2" t="s">
        <v>379</v>
      </c>
    </row>
    <row r="13" spans="1:4" ht="15" customHeight="1">
      <c r="A13" s="3">
        <v>11</v>
      </c>
      <c r="B13" s="3" t="s">
        <v>369</v>
      </c>
      <c r="C13" s="2" t="s">
        <v>380</v>
      </c>
    </row>
    <row r="14" spans="1:4" ht="15" customHeight="1">
      <c r="A14" s="3">
        <v>12</v>
      </c>
      <c r="B14" s="3" t="s">
        <v>369</v>
      </c>
      <c r="C14" s="2" t="s">
        <v>381</v>
      </c>
    </row>
    <row r="15" spans="1:4" ht="15" customHeight="1">
      <c r="A15" s="3">
        <v>13</v>
      </c>
      <c r="B15" s="3" t="s">
        <v>369</v>
      </c>
      <c r="C15" s="2" t="s">
        <v>382</v>
      </c>
    </row>
    <row r="16" spans="1:4" ht="15" customHeight="1">
      <c r="A16" s="3">
        <v>14</v>
      </c>
      <c r="B16" s="3" t="s">
        <v>369</v>
      </c>
      <c r="C16" s="2" t="s">
        <v>383</v>
      </c>
    </row>
    <row r="17" spans="1:3" ht="15" customHeight="1">
      <c r="A17" s="3">
        <v>15</v>
      </c>
      <c r="B17" s="3" t="s">
        <v>369</v>
      </c>
      <c r="C17" s="2" t="s">
        <v>384</v>
      </c>
    </row>
    <row r="18" spans="1:3" ht="15" customHeight="1">
      <c r="A18" s="3">
        <v>16</v>
      </c>
      <c r="B18" s="3" t="s">
        <v>369</v>
      </c>
      <c r="C18" s="2" t="s">
        <v>385</v>
      </c>
    </row>
    <row r="19" spans="1:3" ht="15" customHeight="1">
      <c r="A19" s="3">
        <v>17</v>
      </c>
      <c r="B19" s="3" t="s">
        <v>369</v>
      </c>
      <c r="C19" s="2" t="s">
        <v>386</v>
      </c>
    </row>
    <row r="20" spans="1:3" ht="15" customHeight="1">
      <c r="A20" s="3">
        <v>18</v>
      </c>
      <c r="B20" s="3" t="s">
        <v>369</v>
      </c>
      <c r="C20" s="2" t="s">
        <v>387</v>
      </c>
    </row>
    <row r="21" spans="1:3" ht="15" customHeight="1">
      <c r="A21" s="3">
        <v>19</v>
      </c>
      <c r="B21" s="3" t="s">
        <v>369</v>
      </c>
      <c r="C21" s="2" t="s">
        <v>388</v>
      </c>
    </row>
    <row r="22" spans="1:3" ht="15" customHeight="1">
      <c r="A22" s="3">
        <v>20</v>
      </c>
      <c r="B22" s="3" t="s">
        <v>369</v>
      </c>
      <c r="C22" s="2" t="s">
        <v>389</v>
      </c>
    </row>
    <row r="23" spans="1:3" ht="15" customHeight="1">
      <c r="A23" s="3">
        <v>21</v>
      </c>
      <c r="B23" s="3" t="s">
        <v>369</v>
      </c>
      <c r="C23" s="2" t="s">
        <v>390</v>
      </c>
    </row>
    <row r="24" spans="1:3" ht="15" customHeight="1">
      <c r="A24" s="3">
        <v>22</v>
      </c>
      <c r="B24" s="3" t="s">
        <v>369</v>
      </c>
      <c r="C24" s="2" t="s">
        <v>391</v>
      </c>
    </row>
    <row r="25" spans="1:3" ht="15" customHeight="1">
      <c r="A25" s="3">
        <v>23</v>
      </c>
      <c r="B25" s="3" t="s">
        <v>369</v>
      </c>
      <c r="C25" s="2" t="s">
        <v>392</v>
      </c>
    </row>
    <row r="26" spans="1:3" ht="15" customHeight="1">
      <c r="A26" s="3">
        <v>24</v>
      </c>
      <c r="B26" s="3" t="s">
        <v>369</v>
      </c>
      <c r="C26" s="2" t="s">
        <v>393</v>
      </c>
    </row>
    <row r="27" spans="1:3" ht="15" customHeight="1">
      <c r="A27" s="3">
        <v>25</v>
      </c>
      <c r="B27" s="3" t="s">
        <v>369</v>
      </c>
      <c r="C27" s="2" t="s">
        <v>394</v>
      </c>
    </row>
    <row r="28" spans="1:3" ht="15" customHeight="1">
      <c r="A28" s="3">
        <v>26</v>
      </c>
      <c r="B28" s="3" t="s">
        <v>369</v>
      </c>
      <c r="C28" s="2" t="s">
        <v>395</v>
      </c>
    </row>
    <row r="29" spans="1:3" ht="15" customHeight="1">
      <c r="A29" s="3">
        <v>27</v>
      </c>
      <c r="B29" s="3" t="s">
        <v>369</v>
      </c>
      <c r="C29" s="2" t="s">
        <v>396</v>
      </c>
    </row>
    <row r="30" spans="1:3" ht="15" customHeight="1">
      <c r="A30" s="3">
        <v>28</v>
      </c>
      <c r="B30" s="3" t="s">
        <v>369</v>
      </c>
      <c r="C30" s="2" t="s">
        <v>397</v>
      </c>
    </row>
    <row r="31" spans="1:3" ht="15" customHeight="1">
      <c r="A31" s="3">
        <v>29</v>
      </c>
      <c r="B31" s="3" t="s">
        <v>369</v>
      </c>
      <c r="C31" s="2" t="s">
        <v>398</v>
      </c>
    </row>
    <row r="32" spans="1:3" ht="15" customHeight="1">
      <c r="A32" s="3">
        <v>30</v>
      </c>
      <c r="B32" s="3" t="s">
        <v>369</v>
      </c>
      <c r="C32" s="2" t="s">
        <v>399</v>
      </c>
    </row>
    <row r="33" spans="1:3" ht="15" customHeight="1">
      <c r="A33" s="3">
        <v>31</v>
      </c>
      <c r="B33" s="3" t="s">
        <v>369</v>
      </c>
      <c r="C33" s="2" t="s">
        <v>400</v>
      </c>
    </row>
    <row r="34" spans="1:3" ht="15" customHeight="1">
      <c r="A34" s="3">
        <v>32</v>
      </c>
      <c r="B34" s="3" t="s">
        <v>369</v>
      </c>
      <c r="C34" s="2" t="s">
        <v>401</v>
      </c>
    </row>
    <row r="35" spans="1:3" ht="15" customHeight="1">
      <c r="A35" s="3">
        <v>33</v>
      </c>
      <c r="B35" s="3" t="s">
        <v>369</v>
      </c>
      <c r="C35" s="2" t="s">
        <v>402</v>
      </c>
    </row>
    <row r="36" spans="1:3" ht="15" customHeight="1">
      <c r="A36" s="3">
        <v>34</v>
      </c>
      <c r="B36" s="3" t="s">
        <v>369</v>
      </c>
      <c r="C36" s="2" t="s">
        <v>403</v>
      </c>
    </row>
    <row r="37" spans="1:3" ht="15" customHeight="1">
      <c r="A37" s="3">
        <v>35</v>
      </c>
      <c r="B37" s="3" t="s">
        <v>369</v>
      </c>
      <c r="C37" s="2" t="s">
        <v>404</v>
      </c>
    </row>
    <row r="38" spans="1:3" ht="15" customHeight="1">
      <c r="A38" s="3">
        <v>36</v>
      </c>
      <c r="B38" s="3" t="s">
        <v>369</v>
      </c>
      <c r="C38" s="2" t="s">
        <v>405</v>
      </c>
    </row>
    <row r="39" spans="1:3" ht="15" customHeight="1">
      <c r="A39" s="3">
        <v>37</v>
      </c>
      <c r="B39" s="3" t="s">
        <v>369</v>
      </c>
      <c r="C39" s="2" t="s">
        <v>406</v>
      </c>
    </row>
    <row r="40" spans="1:3" ht="15" customHeight="1">
      <c r="A40" s="3">
        <v>38</v>
      </c>
      <c r="B40" s="3" t="s">
        <v>369</v>
      </c>
      <c r="C40" s="2" t="s">
        <v>407</v>
      </c>
    </row>
    <row r="41" spans="1:3" ht="15" customHeight="1">
      <c r="A41" s="3">
        <v>39</v>
      </c>
      <c r="B41" s="3" t="s">
        <v>369</v>
      </c>
      <c r="C41" s="2" t="s">
        <v>408</v>
      </c>
    </row>
    <row r="42" spans="1:3" ht="15" customHeight="1">
      <c r="A42" s="3">
        <v>40</v>
      </c>
      <c r="B42" s="3" t="s">
        <v>369</v>
      </c>
      <c r="C42" s="2" t="s">
        <v>409</v>
      </c>
    </row>
    <row r="43" spans="1:3" ht="15" customHeight="1">
      <c r="A43" s="3">
        <v>41</v>
      </c>
      <c r="B43" s="3" t="s">
        <v>369</v>
      </c>
      <c r="C43" s="2" t="s">
        <v>410</v>
      </c>
    </row>
    <row r="44" spans="1:3" ht="15" customHeight="1">
      <c r="A44" s="3">
        <v>42</v>
      </c>
      <c r="B44" s="3" t="s">
        <v>369</v>
      </c>
      <c r="C44" s="2" t="s">
        <v>411</v>
      </c>
    </row>
    <row r="45" spans="1:3" ht="15" customHeight="1">
      <c r="A45" s="3">
        <v>43</v>
      </c>
      <c r="B45" s="3" t="s">
        <v>369</v>
      </c>
      <c r="C45" s="2" t="s">
        <v>412</v>
      </c>
    </row>
    <row r="46" spans="1:3" ht="15" customHeight="1">
      <c r="A46" s="3">
        <v>44</v>
      </c>
      <c r="B46" s="3" t="s">
        <v>369</v>
      </c>
      <c r="C46" s="2" t="s">
        <v>413</v>
      </c>
    </row>
    <row r="47" spans="1:3" ht="15" customHeight="1">
      <c r="A47" s="3">
        <v>45</v>
      </c>
      <c r="B47" s="3" t="s">
        <v>369</v>
      </c>
      <c r="C47" s="2" t="s">
        <v>414</v>
      </c>
    </row>
    <row r="48" spans="1:3" ht="15" customHeight="1">
      <c r="A48" s="3">
        <v>46</v>
      </c>
      <c r="B48" s="3" t="s">
        <v>369</v>
      </c>
      <c r="C48" s="2" t="s">
        <v>415</v>
      </c>
    </row>
    <row r="49" spans="1:3" ht="15" customHeight="1">
      <c r="A49" s="3">
        <v>47</v>
      </c>
      <c r="B49" s="3" t="s">
        <v>369</v>
      </c>
      <c r="C49" s="2" t="s">
        <v>416</v>
      </c>
    </row>
    <row r="50" spans="1:3" ht="15" customHeight="1">
      <c r="A50" s="3">
        <v>48</v>
      </c>
      <c r="B50" s="3" t="s">
        <v>369</v>
      </c>
      <c r="C50" s="2" t="s">
        <v>417</v>
      </c>
    </row>
    <row r="51" spans="1:3" ht="15" customHeight="1">
      <c r="A51" s="3">
        <v>49</v>
      </c>
      <c r="B51" s="3" t="s">
        <v>369</v>
      </c>
      <c r="C51" s="2" t="s">
        <v>418</v>
      </c>
    </row>
    <row r="52" spans="1:3" ht="15" customHeight="1">
      <c r="A52" s="3">
        <v>50</v>
      </c>
      <c r="B52" s="3" t="s">
        <v>369</v>
      </c>
      <c r="C52" s="2" t="s">
        <v>419</v>
      </c>
    </row>
    <row r="53" spans="1:3" ht="15" customHeight="1">
      <c r="A53" s="3">
        <v>51</v>
      </c>
      <c r="B53" s="3" t="s">
        <v>369</v>
      </c>
      <c r="C53" s="2" t="s">
        <v>420</v>
      </c>
    </row>
    <row r="54" spans="1:3" ht="15" customHeight="1">
      <c r="A54" s="3">
        <v>52</v>
      </c>
      <c r="B54" s="3" t="s">
        <v>369</v>
      </c>
      <c r="C54" s="2" t="s">
        <v>421</v>
      </c>
    </row>
    <row r="55" spans="1:3" ht="15" customHeight="1">
      <c r="A55" s="3">
        <v>53</v>
      </c>
      <c r="B55" s="3" t="s">
        <v>369</v>
      </c>
      <c r="C55" s="2" t="s">
        <v>422</v>
      </c>
    </row>
    <row r="56" spans="1:3" ht="15" customHeight="1">
      <c r="A56" s="3">
        <v>54</v>
      </c>
      <c r="B56" s="3" t="s">
        <v>369</v>
      </c>
      <c r="C56" s="2" t="s">
        <v>423</v>
      </c>
    </row>
    <row r="57" spans="1:3" ht="15" customHeight="1">
      <c r="A57" s="3">
        <v>55</v>
      </c>
      <c r="B57" s="3" t="s">
        <v>369</v>
      </c>
      <c r="C57" s="2" t="s">
        <v>424</v>
      </c>
    </row>
    <row r="58" spans="1:3" ht="15" customHeight="1">
      <c r="A58" s="3">
        <v>56</v>
      </c>
      <c r="B58" s="3" t="s">
        <v>369</v>
      </c>
      <c r="C58" s="2" t="s">
        <v>425</v>
      </c>
    </row>
    <row r="59" spans="1:3" ht="15" customHeight="1">
      <c r="A59" s="3">
        <v>57</v>
      </c>
      <c r="B59" s="3" t="s">
        <v>369</v>
      </c>
      <c r="C59" s="2" t="s">
        <v>426</v>
      </c>
    </row>
    <row r="60" spans="1:3" ht="15" customHeight="1">
      <c r="A60" s="3">
        <v>58</v>
      </c>
      <c r="B60" s="3" t="s">
        <v>369</v>
      </c>
      <c r="C60" s="2" t="s">
        <v>427</v>
      </c>
    </row>
    <row r="61" spans="1:3" ht="15" customHeight="1">
      <c r="A61" s="3">
        <v>59</v>
      </c>
      <c r="B61" s="3" t="s">
        <v>369</v>
      </c>
      <c r="C61" s="2" t="s">
        <v>428</v>
      </c>
    </row>
    <row r="62" spans="1:3" ht="15" customHeight="1">
      <c r="A62" s="3">
        <v>60</v>
      </c>
      <c r="B62" s="3" t="s">
        <v>369</v>
      </c>
      <c r="C62" s="2" t="s">
        <v>429</v>
      </c>
    </row>
    <row r="63" spans="1:3" ht="15" customHeight="1">
      <c r="A63" s="3">
        <v>61</v>
      </c>
      <c r="B63" s="3" t="s">
        <v>369</v>
      </c>
      <c r="C63" s="2" t="s">
        <v>430</v>
      </c>
    </row>
    <row r="64" spans="1:3" ht="15" customHeight="1">
      <c r="A64" s="3">
        <v>62</v>
      </c>
      <c r="B64" s="3" t="s">
        <v>369</v>
      </c>
      <c r="C64" s="2" t="s">
        <v>431</v>
      </c>
    </row>
    <row r="65" spans="1:3" ht="15" customHeight="1">
      <c r="A65" s="3">
        <v>63</v>
      </c>
      <c r="B65" s="3" t="s">
        <v>369</v>
      </c>
      <c r="C65" s="2" t="s">
        <v>432</v>
      </c>
    </row>
    <row r="66" spans="1:3" ht="15" customHeight="1">
      <c r="A66" s="3">
        <v>64</v>
      </c>
      <c r="B66" s="3" t="s">
        <v>369</v>
      </c>
      <c r="C66" s="2" t="s">
        <v>433</v>
      </c>
    </row>
    <row r="67" spans="1:3" ht="15" customHeight="1">
      <c r="A67" s="3">
        <v>65</v>
      </c>
      <c r="B67" s="3" t="s">
        <v>369</v>
      </c>
      <c r="C67" s="2" t="s">
        <v>434</v>
      </c>
    </row>
    <row r="68" spans="1:3" ht="15" customHeight="1">
      <c r="A68" s="3">
        <v>66</v>
      </c>
      <c r="B68" s="3" t="s">
        <v>369</v>
      </c>
      <c r="C68" s="2" t="s">
        <v>435</v>
      </c>
    </row>
    <row r="69" spans="1:3" ht="15" customHeight="1">
      <c r="A69" s="3">
        <v>67</v>
      </c>
      <c r="B69" s="3" t="s">
        <v>369</v>
      </c>
      <c r="C69" s="2" t="s">
        <v>436</v>
      </c>
    </row>
    <row r="70" spans="1:3" ht="15" customHeight="1">
      <c r="A70" s="3">
        <v>68</v>
      </c>
      <c r="B70" s="3" t="s">
        <v>369</v>
      </c>
      <c r="C70" s="2" t="s">
        <v>437</v>
      </c>
    </row>
    <row r="71" spans="1:3" ht="15" customHeight="1">
      <c r="A71" s="3">
        <v>69</v>
      </c>
      <c r="B71" s="3" t="s">
        <v>369</v>
      </c>
      <c r="C71" s="2" t="s">
        <v>438</v>
      </c>
    </row>
    <row r="72" spans="1:3" ht="15" customHeight="1">
      <c r="A72" s="3">
        <v>70</v>
      </c>
      <c r="B72" s="3" t="s">
        <v>369</v>
      </c>
      <c r="C72" s="2" t="s">
        <v>439</v>
      </c>
    </row>
    <row r="73" spans="1:3" ht="15" customHeight="1">
      <c r="A73" s="3">
        <v>71</v>
      </c>
      <c r="B73" s="3" t="s">
        <v>369</v>
      </c>
      <c r="C73" s="2" t="s">
        <v>440</v>
      </c>
    </row>
    <row r="74" spans="1:3" ht="15" customHeight="1">
      <c r="A74" s="3">
        <v>72</v>
      </c>
      <c r="B74" s="3" t="s">
        <v>369</v>
      </c>
      <c r="C74" s="2" t="s">
        <v>441</v>
      </c>
    </row>
    <row r="75" spans="1:3" ht="15" customHeight="1">
      <c r="A75" s="3">
        <v>73</v>
      </c>
      <c r="B75" s="3" t="s">
        <v>369</v>
      </c>
      <c r="C75" s="2" t="s">
        <v>442</v>
      </c>
    </row>
    <row r="76" spans="1:3" ht="15" customHeight="1">
      <c r="A76" s="3">
        <v>74</v>
      </c>
      <c r="B76" s="3" t="s">
        <v>369</v>
      </c>
      <c r="C76" s="2" t="s">
        <v>443</v>
      </c>
    </row>
    <row r="77" spans="1:3" ht="26.45" customHeight="1">
      <c r="A77" s="3">
        <v>75</v>
      </c>
      <c r="B77" s="3" t="s">
        <v>369</v>
      </c>
      <c r="C77" s="2" t="s">
        <v>444</v>
      </c>
    </row>
    <row r="78" spans="1:3" ht="15" customHeight="1">
      <c r="A78" s="3">
        <v>76</v>
      </c>
      <c r="B78" s="3" t="s">
        <v>369</v>
      </c>
      <c r="C78" s="2" t="s">
        <v>445</v>
      </c>
    </row>
    <row r="79" spans="1:3" ht="15" customHeight="1"/>
    <row r="80" spans="1:3" ht="15" customHeight="1"/>
    <row r="81" spans="1:3" ht="26.45" customHeight="1">
      <c r="A81" s="4" t="s">
        <v>446</v>
      </c>
      <c r="B81" s="4" t="s">
        <v>447</v>
      </c>
      <c r="C81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tabSelected="1" topLeftCell="E1" workbookViewId="0">
      <selection activeCell="H15" sqref="H15"/>
    </sheetView>
  </sheetViews>
  <sheetFormatPr defaultRowHeight="14.25"/>
  <cols>
    <col min="1" max="1" width="11" customWidth="1"/>
    <col min="2" max="2" width="12" customWidth="1"/>
    <col min="3" max="3" width="24" customWidth="1"/>
    <col min="4" max="4" width="28" customWidth="1"/>
    <col min="5" max="5" width="10" customWidth="1"/>
    <col min="6" max="6" width="24" customWidth="1"/>
    <col min="7" max="7" width="62" customWidth="1"/>
    <col min="8" max="8" width="60" customWidth="1"/>
    <col min="9" max="9" width="25" customWidth="1"/>
    <col min="10" max="11" width="18" customWidth="1"/>
  </cols>
  <sheetData>
    <row r="1" spans="1:11" ht="27.95" customHeight="1">
      <c r="A1" s="5" t="s">
        <v>448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5" customHeight="1">
      <c r="A2" s="6" t="s">
        <v>449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" customHeight="1"/>
    <row r="4" spans="1:11" ht="15" customHeight="1">
      <c r="A4" s="1" t="s">
        <v>68</v>
      </c>
      <c r="B4" s="1" t="s">
        <v>69</v>
      </c>
      <c r="C4" s="1" t="s">
        <v>450</v>
      </c>
      <c r="D4" s="1" t="s">
        <v>451</v>
      </c>
      <c r="E4" s="1" t="s">
        <v>452</v>
      </c>
      <c r="F4" s="1" t="s">
        <v>453</v>
      </c>
      <c r="G4" s="1" t="s">
        <v>454</v>
      </c>
      <c r="H4" s="1" t="s">
        <v>455</v>
      </c>
      <c r="I4" s="1" t="s">
        <v>456</v>
      </c>
      <c r="J4" s="1" t="s">
        <v>457</v>
      </c>
    </row>
    <row r="5" spans="1:11" ht="26.45" customHeight="1">
      <c r="A5" s="3" t="s">
        <v>130</v>
      </c>
      <c r="B5" s="3" t="s">
        <v>84</v>
      </c>
      <c r="C5" s="3" t="s">
        <v>458</v>
      </c>
      <c r="D5" s="3" t="s">
        <v>459</v>
      </c>
      <c r="E5" s="3"/>
      <c r="F5" s="3" t="s">
        <v>460</v>
      </c>
      <c r="G5" s="2" t="s">
        <v>461</v>
      </c>
      <c r="H5" s="2" t="s">
        <v>134</v>
      </c>
      <c r="I5" s="3"/>
      <c r="J5" s="3"/>
    </row>
    <row r="6" spans="1:11" ht="26.45" customHeight="1">
      <c r="A6" s="3" t="s">
        <v>135</v>
      </c>
      <c r="B6" s="3" t="s">
        <v>84</v>
      </c>
      <c r="C6" s="3" t="s">
        <v>458</v>
      </c>
      <c r="D6" s="3" t="s">
        <v>459</v>
      </c>
      <c r="E6" s="3">
        <v>139</v>
      </c>
      <c r="F6" s="3" t="s">
        <v>462</v>
      </c>
      <c r="G6" s="2" t="s">
        <v>463</v>
      </c>
      <c r="H6" s="2" t="s">
        <v>137</v>
      </c>
      <c r="I6" s="3"/>
      <c r="J6" s="3"/>
    </row>
    <row r="7" spans="1:11" ht="34.5" customHeight="1">
      <c r="A7" s="3" t="s">
        <v>152</v>
      </c>
      <c r="B7" s="3" t="s">
        <v>84</v>
      </c>
      <c r="C7" s="3" t="s">
        <v>458</v>
      </c>
      <c r="D7" s="3" t="s">
        <v>464</v>
      </c>
      <c r="E7" s="3">
        <v>389</v>
      </c>
      <c r="F7" s="3" t="s">
        <v>465</v>
      </c>
      <c r="G7" s="2" t="s">
        <v>466</v>
      </c>
      <c r="H7" s="2" t="s">
        <v>154</v>
      </c>
      <c r="I7" s="3"/>
      <c r="J7" s="3"/>
    </row>
    <row r="8" spans="1:11" ht="35.25" customHeight="1">
      <c r="A8" s="3" t="s">
        <v>152</v>
      </c>
      <c r="B8" s="3" t="s">
        <v>84</v>
      </c>
      <c r="C8" s="3" t="s">
        <v>458</v>
      </c>
      <c r="D8" s="3" t="s">
        <v>467</v>
      </c>
      <c r="E8" s="3">
        <v>520</v>
      </c>
      <c r="F8" s="3" t="s">
        <v>468</v>
      </c>
      <c r="G8" s="2" t="s">
        <v>469</v>
      </c>
      <c r="H8" s="2" t="s">
        <v>154</v>
      </c>
      <c r="I8" s="3"/>
      <c r="J8" s="3"/>
    </row>
    <row r="9" spans="1:11" ht="35.25" customHeight="1">
      <c r="A9" s="3" t="s">
        <v>152</v>
      </c>
      <c r="B9" s="3" t="s">
        <v>84</v>
      </c>
      <c r="C9" s="3" t="s">
        <v>458</v>
      </c>
      <c r="D9" s="3" t="s">
        <v>470</v>
      </c>
      <c r="E9" s="3">
        <v>700</v>
      </c>
      <c r="F9" s="3" t="s">
        <v>471</v>
      </c>
      <c r="G9" s="2" t="s">
        <v>472</v>
      </c>
      <c r="H9" s="2" t="s">
        <v>154</v>
      </c>
      <c r="I9" s="3"/>
      <c r="J9" s="3"/>
    </row>
    <row r="10" spans="1:11" ht="39" customHeight="1">
      <c r="A10" s="3" t="s">
        <v>152</v>
      </c>
      <c r="B10" s="3" t="s">
        <v>84</v>
      </c>
      <c r="C10" s="3" t="s">
        <v>458</v>
      </c>
      <c r="D10" s="3" t="s">
        <v>473</v>
      </c>
      <c r="E10" s="3">
        <v>789</v>
      </c>
      <c r="F10" s="3" t="s">
        <v>474</v>
      </c>
      <c r="G10" s="2" t="s">
        <v>475</v>
      </c>
      <c r="H10" s="2" t="s">
        <v>154</v>
      </c>
      <c r="I10" s="3"/>
      <c r="J10" s="3"/>
    </row>
    <row r="11" spans="1:11" ht="38.25" customHeight="1">
      <c r="A11" s="3" t="s">
        <v>152</v>
      </c>
      <c r="B11" s="3" t="s">
        <v>84</v>
      </c>
      <c r="C11" s="3" t="s">
        <v>458</v>
      </c>
      <c r="D11" s="3" t="s">
        <v>476</v>
      </c>
      <c r="E11" s="3">
        <v>827</v>
      </c>
      <c r="F11" s="3" t="s">
        <v>477</v>
      </c>
      <c r="G11" s="2" t="s">
        <v>478</v>
      </c>
      <c r="H11" s="2" t="s">
        <v>154</v>
      </c>
      <c r="I11" s="3"/>
      <c r="J11" s="3"/>
    </row>
    <row r="12" spans="1:11" ht="43.5" customHeight="1">
      <c r="A12" s="3" t="s">
        <v>127</v>
      </c>
      <c r="B12" s="3" t="s">
        <v>84</v>
      </c>
      <c r="C12" s="3" t="s">
        <v>458</v>
      </c>
      <c r="D12" s="3" t="s">
        <v>479</v>
      </c>
      <c r="E12" s="3">
        <v>954</v>
      </c>
      <c r="F12" s="3" t="s">
        <v>480</v>
      </c>
      <c r="G12" s="2" t="s">
        <v>481</v>
      </c>
      <c r="H12" s="2" t="s">
        <v>129</v>
      </c>
      <c r="I12" s="3"/>
      <c r="J12" s="3"/>
    </row>
    <row r="13" spans="1:11" ht="40.5" customHeight="1">
      <c r="A13" s="3" t="s">
        <v>127</v>
      </c>
      <c r="B13" s="3" t="s">
        <v>84</v>
      </c>
      <c r="C13" s="3" t="s">
        <v>458</v>
      </c>
      <c r="D13" s="3" t="s">
        <v>479</v>
      </c>
      <c r="E13" s="3">
        <v>959</v>
      </c>
      <c r="F13" s="3" t="s">
        <v>482</v>
      </c>
      <c r="G13" s="2" t="s">
        <v>483</v>
      </c>
      <c r="H13" s="2" t="s">
        <v>129</v>
      </c>
      <c r="I13" s="3"/>
      <c r="J13" s="3"/>
    </row>
    <row r="14" spans="1:11" ht="37.5" customHeight="1">
      <c r="A14" s="3" t="s">
        <v>127</v>
      </c>
      <c r="B14" s="3" t="s">
        <v>84</v>
      </c>
      <c r="C14" s="3" t="s">
        <v>458</v>
      </c>
      <c r="D14" s="3" t="s">
        <v>479</v>
      </c>
      <c r="E14" s="3">
        <v>969</v>
      </c>
      <c r="F14" s="3" t="s">
        <v>484</v>
      </c>
      <c r="G14" s="2" t="s">
        <v>485</v>
      </c>
      <c r="H14" s="2" t="s">
        <v>129</v>
      </c>
      <c r="I14" s="3"/>
      <c r="J14" s="3"/>
    </row>
    <row r="15" spans="1:11" ht="33.75" customHeight="1">
      <c r="A15" s="3" t="s">
        <v>127</v>
      </c>
      <c r="B15" s="3" t="s">
        <v>84</v>
      </c>
      <c r="C15" s="3" t="s">
        <v>458</v>
      </c>
      <c r="D15" s="3" t="s">
        <v>486</v>
      </c>
      <c r="E15" s="3">
        <v>992</v>
      </c>
      <c r="F15" s="3" t="s">
        <v>487</v>
      </c>
      <c r="G15" s="2" t="s">
        <v>488</v>
      </c>
      <c r="H15" s="2" t="s">
        <v>129</v>
      </c>
      <c r="I15" s="3"/>
      <c r="J15" s="3"/>
    </row>
    <row r="16" spans="1:11" ht="38.25" customHeight="1">
      <c r="A16" s="3" t="s">
        <v>152</v>
      </c>
      <c r="B16" s="3" t="s">
        <v>84</v>
      </c>
      <c r="C16" s="3" t="s">
        <v>458</v>
      </c>
      <c r="D16" s="3" t="s">
        <v>486</v>
      </c>
      <c r="E16" s="3">
        <v>992</v>
      </c>
      <c r="F16" s="3" t="s">
        <v>487</v>
      </c>
      <c r="G16" s="2" t="s">
        <v>489</v>
      </c>
      <c r="H16" s="2" t="s">
        <v>154</v>
      </c>
      <c r="I16" s="3"/>
      <c r="J16" s="3"/>
    </row>
    <row r="17" spans="1:10" ht="36" customHeight="1">
      <c r="A17" s="3" t="s">
        <v>127</v>
      </c>
      <c r="B17" s="3" t="s">
        <v>84</v>
      </c>
      <c r="C17" s="3" t="s">
        <v>458</v>
      </c>
      <c r="D17" s="3" t="s">
        <v>486</v>
      </c>
      <c r="E17" s="3">
        <v>997</v>
      </c>
      <c r="F17" s="3" t="s">
        <v>490</v>
      </c>
      <c r="G17" s="2" t="s">
        <v>491</v>
      </c>
      <c r="H17" s="2" t="s">
        <v>129</v>
      </c>
      <c r="I17" s="3"/>
      <c r="J17" s="3"/>
    </row>
  </sheetData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00_BAT_DAU</vt:lpstr>
      <vt:lpstr>01_Rule_Catalog</vt:lpstr>
      <vt:lpstr>02_Fixture_Bank</vt:lpstr>
      <vt:lpstr>03_Test_Execution</vt:lpstr>
      <vt:lpstr>04_Quiz_Findings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2026-09-18T09:42:28Z</dcterms:modified>
</cp:coreProperties>
</file>