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huctap\clone\cybersoft-learning-hub\Test\Day23_Defect_Analytics_Tran_Quoc_Nguyen\"/>
    </mc:Choice>
  </mc:AlternateContent>
  <xr:revisionPtr revIDLastSave="0" documentId="13_ncr:1_{8EC95BAD-9CC4-4A31-9066-22159B19753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efect_Log" sheetId="2" r:id="rId1"/>
    <sheet name="Taxonomy" sheetId="3" r:id="rId2"/>
    <sheet name="Dashboard" sheetId="4" r:id="rId3"/>
    <sheet name="Pareto" sheetId="5" r:id="rId4"/>
    <sheet name="RCA_Top5" sheetId="6" r:id="rId5"/>
    <sheet name="Prevention_Action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7" l="1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E9" i="6"/>
  <c r="E8" i="6"/>
  <c r="E7" i="6"/>
  <c r="E6" i="6"/>
  <c r="E5" i="6"/>
  <c r="E17" i="5"/>
  <c r="B17" i="5"/>
  <c r="E16" i="5"/>
  <c r="B16" i="5"/>
  <c r="E15" i="5"/>
  <c r="B15" i="5"/>
  <c r="E14" i="5"/>
  <c r="B14" i="5"/>
  <c r="E13" i="5"/>
  <c r="B13" i="5"/>
  <c r="E12" i="5"/>
  <c r="B12" i="5"/>
  <c r="E11" i="5"/>
  <c r="B11" i="5"/>
  <c r="E10" i="5"/>
  <c r="B10" i="5"/>
  <c r="E9" i="5"/>
  <c r="B9" i="5"/>
  <c r="E8" i="5"/>
  <c r="B8" i="5"/>
  <c r="E7" i="5"/>
  <c r="B7" i="5"/>
  <c r="E6" i="5"/>
  <c r="B6" i="5"/>
  <c r="E5" i="5"/>
  <c r="E18" i="5" s="1"/>
  <c r="B5" i="5"/>
  <c r="B18" i="5" s="1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4" i="4"/>
  <c r="B73" i="4"/>
  <c r="B72" i="4"/>
  <c r="B71" i="4"/>
  <c r="B70" i="4"/>
  <c r="B69" i="4"/>
  <c r="B65" i="4"/>
  <c r="B64" i="4"/>
  <c r="B63" i="4"/>
  <c r="B62" i="4"/>
  <c r="B61" i="4"/>
  <c r="B60" i="4"/>
  <c r="H59" i="4"/>
  <c r="G59" i="4"/>
  <c r="F59" i="4"/>
  <c r="E59" i="4"/>
  <c r="D59" i="4"/>
  <c r="B59" i="4"/>
  <c r="H58" i="4"/>
  <c r="G58" i="4"/>
  <c r="F58" i="4"/>
  <c r="E58" i="4"/>
  <c r="D58" i="4"/>
  <c r="B58" i="4"/>
  <c r="H57" i="4"/>
  <c r="G57" i="4"/>
  <c r="F57" i="4"/>
  <c r="E57" i="4"/>
  <c r="D57" i="4"/>
  <c r="B57" i="4"/>
  <c r="H56" i="4"/>
  <c r="G56" i="4"/>
  <c r="F56" i="4"/>
  <c r="E56" i="4"/>
  <c r="D56" i="4"/>
  <c r="B56" i="4"/>
  <c r="H55" i="4"/>
  <c r="G55" i="4"/>
  <c r="F55" i="4"/>
  <c r="E55" i="4"/>
  <c r="D55" i="4"/>
  <c r="B55" i="4"/>
  <c r="H54" i="4"/>
  <c r="G54" i="4"/>
  <c r="F54" i="4"/>
  <c r="E54" i="4"/>
  <c r="D54" i="4"/>
  <c r="B54" i="4"/>
  <c r="B53" i="4"/>
  <c r="B52" i="4"/>
  <c r="B51" i="4"/>
  <c r="B50" i="4"/>
  <c r="B49" i="4"/>
  <c r="B48" i="4"/>
  <c r="B44" i="4"/>
  <c r="B43" i="4"/>
  <c r="B42" i="4"/>
  <c r="B41" i="4"/>
  <c r="B40" i="4"/>
  <c r="B39" i="4"/>
  <c r="B38" i="4"/>
  <c r="B34" i="4"/>
  <c r="B33" i="4"/>
  <c r="B32" i="4"/>
  <c r="B31" i="4"/>
  <c r="B27" i="4"/>
  <c r="B26" i="4"/>
  <c r="B25" i="4"/>
  <c r="B24" i="4"/>
  <c r="B23" i="4"/>
  <c r="B22" i="4"/>
  <c r="B15" i="4"/>
  <c r="B14" i="4"/>
  <c r="B13" i="4"/>
  <c r="B12" i="4"/>
  <c r="B11" i="4"/>
  <c r="B10" i="4"/>
  <c r="B9" i="4"/>
  <c r="B8" i="4"/>
  <c r="B7" i="4"/>
  <c r="B6" i="4"/>
  <c r="B5" i="4"/>
  <c r="C17" i="5" l="1"/>
  <c r="C11" i="5"/>
  <c r="C10" i="5"/>
  <c r="C16" i="5"/>
  <c r="C6" i="5"/>
  <c r="C13" i="5"/>
  <c r="C14" i="5"/>
  <c r="D15" i="5"/>
  <c r="D12" i="5"/>
  <c r="D9" i="5"/>
  <c r="D6" i="5"/>
  <c r="D17" i="5"/>
  <c r="D14" i="5"/>
  <c r="D11" i="5"/>
  <c r="D8" i="5"/>
  <c r="D5" i="5"/>
  <c r="D16" i="5"/>
  <c r="D13" i="5"/>
  <c r="D10" i="5"/>
  <c r="D7" i="5"/>
  <c r="C8" i="5"/>
  <c r="C12" i="5"/>
  <c r="C7" i="5"/>
  <c r="C9" i="5"/>
  <c r="C15" i="5"/>
  <c r="C5" i="5"/>
  <c r="C18" i="5" l="1"/>
</calcChain>
</file>

<file path=xl/sharedStrings.xml><?xml version="1.0" encoding="utf-8"?>
<sst xmlns="http://schemas.openxmlformats.org/spreadsheetml/2006/main" count="1311" uniqueCount="539">
  <si>
    <t>Defect ID</t>
  </si>
  <si>
    <t>Source Day</t>
  </si>
  <si>
    <t>Component</t>
  </si>
  <si>
    <t>Summary</t>
  </si>
  <si>
    <t>Symptom (hiện tượng)</t>
  </si>
  <si>
    <t>Category</t>
  </si>
  <si>
    <t>Severity</t>
  </si>
  <si>
    <t>Severity Source</t>
  </si>
  <si>
    <t>Priority</t>
  </si>
  <si>
    <t>Status</t>
  </si>
  <si>
    <t>Root Cause (nguyên nhân gốc)</t>
  </si>
  <si>
    <t>Root Cause Category</t>
  </si>
  <si>
    <t>Detection Phase</t>
  </si>
  <si>
    <t>Detection Method</t>
  </si>
  <si>
    <t>Owner Team (đề xuất)</t>
  </si>
  <si>
    <t>Detected Date</t>
  </si>
  <si>
    <t>Fixed Date</t>
  </si>
  <si>
    <t>Last Verified</t>
  </si>
  <si>
    <t>Deadline</t>
  </si>
  <si>
    <t>Evidence</t>
  </si>
  <si>
    <t>Defect Kind</t>
  </si>
  <si>
    <t>Fixture Bug</t>
  </si>
  <si>
    <t>Regression</t>
  </si>
  <si>
    <t>Prevention Action</t>
  </si>
  <si>
    <t>Ghi chú / kết quả kiểm lại</t>
  </si>
  <si>
    <t>DEF-001</t>
  </si>
  <si>
    <t>FE Quiz</t>
  </si>
  <si>
    <t>Không chọn được bộ đề bằng bàn phím</t>
  </si>
  <si>
    <t>Tab không tới các thẻ đề; Enter/Space không chọn được (KB-04)</t>
  </si>
  <si>
    <t>Frontend UI</t>
  </si>
  <si>
    <t>Medium</t>
  </si>
  <si>
    <t>Proposed</t>
  </si>
  <si>
    <t>P2</t>
  </si>
  <si>
    <t>Open</t>
  </si>
  <si>
    <t>Thẻ đề là phần tử không focus được (không phải button/không có tabindex và role)</t>
  </si>
  <si>
    <t>RC10 - Component UI không theo chuẩn a11y/responsive</t>
  </si>
  <si>
    <t>Manual test</t>
  </si>
  <si>
    <t>Manual</t>
  </si>
  <si>
    <t>FE</t>
  </si>
  <si>
    <t>Not recorded</t>
  </si>
  <si>
    <t>2026-10-07</t>
  </si>
  <si>
    <t>Chưa xác nhận</t>
  </si>
  <si>
    <t>Day09_Execution_Guide_Local_A11y_Responsive_v3.xlsx</t>
  </si>
  <si>
    <t>Product</t>
  </si>
  <si>
    <t>N</t>
  </si>
  <si>
    <t>PA-11</t>
  </si>
  <si>
    <t>Chưa retest ngày 05/10 | 07/10: DOM /quiz cho thấy thẻ đề là DIV có onclick, không tabindex/role; vẫn không focus được | 07/10 (Chrome, đã đăng nhập): thẻ đề vẫn là DIV không role/tabindex</t>
  </si>
  <si>
    <t>DEF-002</t>
  </si>
  <si>
    <t>Focus không nhìn thấy rõ trên các trang chính</t>
  </si>
  <si>
    <t>Khi Tab qua control, viền focus khó nhận ra (FOCUS-01)</t>
  </si>
  <si>
    <t>Retest</t>
  </si>
  <si>
    <t>Style chung bỏ outline mặc định mà không có style focus-visible thay thế</t>
  </si>
  <si>
    <t>Root cause suy từ quan sát, chưa đọc CSS | 07/10: nút header ở /quiz có viền focus nhìn rõ khi Tab; mới kiểm 1 trang, chưa kiểm video và 3 trang còn lại</t>
  </si>
  <si>
    <t>DEF-003</t>
  </si>
  <si>
    <t>FE Login</t>
  </si>
  <si>
    <t>Input Email/Mật khẩu không gắn label</t>
  </si>
  <si>
    <t>WAVE báo 2 missing form label (A11Y-BUG-003)</t>
  </si>
  <si>
    <t>Recorded</t>
  </si>
  <si>
    <t>Component form render &lt;label&gt; và &lt;input&gt; rời nhau: input không có id, label không có htmlFor</t>
  </si>
  <si>
    <t>WAVE + DOM</t>
  </si>
  <si>
    <t>05/10: DOM /login vẫn vậy (2 input không id, label for rỗng) | 07/10: DOM /login vẫn vậy</t>
  </si>
  <si>
    <t>DEF-004</t>
  </si>
  <si>
    <t>FE Register</t>
  </si>
  <si>
    <t>3 input đăng ký không gắn label</t>
  </si>
  <si>
    <t>WAVE báo 3 missing form label và 4 orphaned label (A11Y-BUG-004)</t>
  </si>
  <si>
    <t>Dùng chung cách dựng form với trang Login (label và input không liên kết)</t>
  </si>
  <si>
    <t>05/10: DOM /register vẫn vậy | 07/10: DOM /register vẫn vậy</t>
  </si>
  <si>
    <t>DEF-005</t>
  </si>
  <si>
    <t>FE Playground</t>
  </si>
  <si>
    <t>Ô STDIN và dropdown bài không có accessible name</t>
  </si>
  <si>
    <t>WAVE báo textarea STDIN không có label tương ứng (A11Y-BUG-005)</t>
  </si>
  <si>
    <t>Text mô tả hiển thị cạnh control nhưng không liên kết bằng label/aria</t>
  </si>
  <si>
    <t>WAVE</t>
  </si>
  <si>
    <t>Chưa retest ngày 05/10 | 07/10 (Chrome, đã đăng nhập): label 'STDIN' có nhưng không gắn với textarea (htmlFor rỗng); ô nhập và nút gửi của AI Coach cũng không có accessible name. Dropdown chọn bài đã được thay bằng lưới thẻ</t>
  </si>
  <si>
    <t>DEF-006</t>
  </si>
  <si>
    <t>FE Header</t>
  </si>
  <si>
    <t>Header không co lại ở tablet</t>
  </si>
  <si>
    <t>Ở iPad Pro, navigation và nút Đăng nhập/Đăng ký dồn sát nhau (RESP-BUG-001)</t>
  </si>
  <si>
    <t>Header chỉ có bố cục desktop và mobile, thiếu breakpoint tablet</t>
  </si>
  <si>
    <t>Chrome DevTools</t>
  </si>
  <si>
    <t>Chưa retest ngày 05/10 | 07/10: ở chiều rộng 769 px header đã gộp menu vào nút 'Thêm', không cuộn ngang; chưa kiểm ở iPad Pro 1024 px</t>
  </si>
  <si>
    <t>DEF-007</t>
  </si>
  <si>
    <t>Ba thẻ Hint bị ép hẹp ở tablet</t>
  </si>
  <si>
    <t>Badge 'Đã mở/Chưa mở' tràn khỏi thẻ ở iPad Pro (RESP-BUG-002)</t>
  </si>
  <si>
    <t>Lưới 3 cột cố định, không xuống hàng theo chiều rộng</t>
  </si>
  <si>
    <t>Chưa retest ngày 05/10 | 07/10 (Chrome, cửa sổ 1568 px): 3 thẻ Hint vẫn hẹp, chữ xuống 3-4 dòng, badge 'Chưa mở' không tràn; chưa kiểm ở chiều rộng iPad Pro</t>
  </si>
  <si>
    <t>DEF-008</t>
  </si>
  <si>
    <t>QA tài liệu</t>
  </si>
  <si>
    <t>Bảng ngưỡng hiệu năng có ô #REF!</t>
  </si>
  <si>
    <t>Sheet 06_Thresholds: 3 dòng Page Load hiển thị #REF! ở baseline và ngưỡng</t>
  </si>
  <si>
    <t>Documentation</t>
  </si>
  <si>
    <t>Low</t>
  </si>
  <si>
    <t>P3</t>
  </si>
  <si>
    <t>Công thức tham chiếu tới ô đã bị xóa/di chuyển ở sheet 05_Page_Load sau khi sửa bố cục</t>
  </si>
  <si>
    <t>RC11 - Tài liệu/kết quả AI không được đối chiếu với code</t>
  </si>
  <si>
    <t>Local</t>
  </si>
  <si>
    <t>Đọc workbook</t>
  </si>
  <si>
    <t>QA</t>
  </si>
  <si>
    <t>Day10_Performance_Baseline_Guide.xlsx</t>
  </si>
  <si>
    <t>PA-12</t>
  </si>
  <si>
    <t>07/10: mở lại file, sheet 06_Thresholds vẫn có #REF! ở 3 dòng Page Load</t>
  </si>
  <si>
    <t>DEF-009</t>
  </si>
  <si>
    <t>BE dữ liệu bài học</t>
  </si>
  <si>
    <t>2 bài học BE thiếu mục tiêu học tập</t>
  </si>
  <si>
    <t>content-lint báo 2 ERROR CT004 trên be-lessons.json</t>
  </si>
  <si>
    <t>Content</t>
  </si>
  <si>
    <t>Seed bài học được viết tay trong initial-data.ts, schema không bắt buộc learningOutcome và không có bước lint trước khi merge</t>
  </si>
  <si>
    <t>RC03 - Nội dung/dữ liệu học liệu đưa vào không qua gate tự động</t>
  </si>
  <si>
    <t>content-lint</t>
  </si>
  <si>
    <t>BE</t>
  </si>
  <si>
    <t>2026-09-17</t>
  </si>
  <si>
    <t>Day11_Content_Lint_Tran_Quoc_Nguyen/tools/content-lint/real-content/lint-report.json</t>
  </si>
  <si>
    <t>PA-03</t>
  </si>
  <si>
    <t>05/10: bot Ngày 22 chạy lại vẫn 2 ERROR (gate advisory) | 07/10: chạy lại content-lint trên commit cb311b5, vẫn 2 ERROR CT004 (be-lessons dòng 2 và 45)</t>
  </si>
  <si>
    <t>DEF-010</t>
  </si>
  <si>
    <t>BE dữ liệu quiz</t>
  </si>
  <si>
    <t>Đáp án đúng dồn vào một vị trí</t>
  </si>
  <si>
    <t>19/30 câu (63%) có đáp án đúng ở vị trí thứ 2; 4 câu liên tiếp cùng vị trí (QV017, QV018)</t>
  </si>
  <si>
    <t>Quiz</t>
  </si>
  <si>
    <t>Câu hỏi được soạn tay theo thói quen đặt đáp án đúng ở B, không có bước xáo/kiểm phân bố trước khi đưa vào seed</t>
  </si>
  <si>
    <t>quiz-validator</t>
  </si>
  <si>
    <t>2026-09-18</t>
  </si>
  <si>
    <t>Day12_Quiz_Validator_Tran_Quoc_Nguyen/Day12_Quality_Report.xlsx</t>
  </si>
  <si>
    <t>Đo trên bộ 30 câu ngày 18/09; bộ hiện tại 60 câu chưa đo lại phân bố | 07/10: chạy lại quiz-validator trên cb311b5 (60 câu), QV017: đáp án đúng ở vị trí 1 trong 33/60 câu (55%)</t>
  </si>
  <si>
    <t>DEF-011</t>
  </si>
  <si>
    <t>Đáp án lộ qua độ dài hoặc quan hệ chuỗi con</t>
  </si>
  <si>
    <t>QV023 ở 6 câu (đáp án đúng dài/ngắn bất thường), QV016 ở Q29-Q30 (option là chuỗi con của option khác)</t>
  </si>
  <si>
    <t>Không có tiêu chí viết phương án nhiễu và không có validator chạy khi sửa dữ liệu quiz</t>
  </si>
  <si>
    <t>07/10: chạy lại quiz-validator trên cb311b5, vẫn có cảnh báo QV023 và QV016</t>
  </si>
  <si>
    <t>DEF-012</t>
  </si>
  <si>
    <t>BE bài coding</t>
  </si>
  <si>
    <t>Bộ test bài số nguyên tố để lọt lời giải sai</t>
  </si>
  <si>
    <t>Mutation score 66,7% (10/15), dưới ngưỡng 80%; 5 mutant sống sót (F-D13-01)</t>
  </si>
  <si>
    <t>Coding Problem</t>
  </si>
  <si>
    <t>High</t>
  </si>
  <si>
    <t>P1</t>
  </si>
  <si>
    <t>Test được viết theo ví dụ trong đề, không có test biên (bình phương số nguyên tố, n lớn) và không đo mutation trước khi phát hành</t>
  </si>
  <si>
    <t>Mutation test</t>
  </si>
  <si>
    <t>2026-09-19</t>
  </si>
  <si>
    <t>Day13_Coding_Problem_Validator_Tran_Quoc_Nguyen/Day13_Quality_Report.xlsx</t>
  </si>
  <si>
    <t>PA-04</t>
  </si>
  <si>
    <t>Bộ test bổ sung mới ở mức đề xuất, chưa áp vào BE | 07/10: bài kiem-tra-so-nguyen-to vẫn 4 test case; file initial-exercises.ts không đổi nội dung từ 24/09. Chưa chạy lại mutation</t>
  </si>
  <si>
    <t>DEF-013</t>
  </si>
  <si>
    <t>24/30 bài không nêu ràng buộc</t>
  </si>
  <si>
    <t>Validator báo 24 lần CP002 (F-D13-02)</t>
  </si>
  <si>
    <t>Schema Exercise không có trường constraints nên người soạn không có chỗ điền</t>
  </si>
  <si>
    <t>coding-problem-validator</t>
  </si>
  <si>
    <t>07/10: chạy lại validator trên cb311b5, vẫn 24 lần CP002</t>
  </si>
  <si>
    <t>DEF-014</t>
  </si>
  <si>
    <t>3 bài quá ít test</t>
  </si>
  <si>
    <t>CP013 ở tim-so-lon-nhat, dao-nguoc-chuoi, day14-bang-cuu-chuong (F-D13-03)</t>
  </si>
  <si>
    <t>Không có số test tối thiểu trong quy trình soạn bài</t>
  </si>
  <si>
    <t>07/10: chạy lại validator trên cb311b5, vẫn 3 lần CP013</t>
  </si>
  <si>
    <t>DEF-015</t>
  </si>
  <si>
    <t>BE Judge</t>
  </si>
  <si>
    <t>Nghi lộ input của hidden test qua stderr</t>
  </si>
  <si>
    <t>Mô phỏng: 2/2 hidden test của 2 bài bị echo dòng input đầu qua stderr/errorMessage (F-D13-04)</t>
  </si>
  <si>
    <t>AI Safety</t>
  </si>
  <si>
    <t>Needs verification</t>
  </si>
  <si>
    <t>Judge lưu và trả stderr cho cả test ẩn, không lọc theo isHidden</t>
  </si>
  <si>
    <t>RC05 - Không lọc thông tin nội bộ trước khi trả cho người dùng</t>
  </si>
  <si>
    <t>Đọc code + mô phỏng</t>
  </si>
  <si>
    <t>PA-06</t>
  </si>
  <si>
    <t>Chưa tái hiện trên server thật</t>
  </si>
  <si>
    <t>DEF-016</t>
  </si>
  <si>
    <t>Output đúng dài hơn 64KB bị chấm sai im lặng</t>
  </si>
  <si>
    <t>Reference solution bị WA với test 12.000 phần tử; stdout bị cắt ở 65.536 ký tự (F-D13-05)</t>
  </si>
  <si>
    <t>Backend Logic</t>
  </si>
  <si>
    <t>Judge cắt stdout ở MAX_OUTPUT_BYTES nhưng không có trạng thái riêng cho vượt giới hạn output</t>
  </si>
  <si>
    <t>RC09 - Thiếu test/gate tự động cho thay đổi</t>
  </si>
  <si>
    <t>Đã thêm rule CP019 ở phía dữ liệu; hành vi judge chưa đổi | 07/10: code-runner.helper.ts vẫn cắt stdout ở MAX_OUTPUT_BYTES = 64KB</t>
  </si>
  <si>
    <t>DEF-017</t>
  </si>
  <si>
    <t>Trạng thái bài nộp theo test fail cuối cùng</t>
  </si>
  <si>
    <t>Bài vừa WA vừa TLE hiển thị theo test sau cùng (F-D13-07)</t>
  </si>
  <si>
    <t>Mỗi test fail ghi đè status; chưa rõ có phải chủ ý thiết kế</t>
  </si>
  <si>
    <t>Đọc code</t>
  </si>
  <si>
    <t>Cần BE xác nhận | 07/10: judge-queue.service.ts vẫn gán status theo test fail sau cùng; chú thích trong CodePlaygroundPage.tsx mô tả đây là hành vi có chủ ý. Cần BE xác nhận</t>
  </si>
  <si>
    <t>DEF-018</t>
  </si>
  <si>
    <t>BE Exercise API</t>
  </si>
  <si>
    <t>Gợi ý tầng 3 trùng lời giải và có thể lộ qua API chi tiết bài</t>
  </si>
  <si>
    <t>20/20 bài Ngày 14 có hint3 trùng nguyên văn solutionCode; findBySlug select cả hints (F-D13-08)</t>
  </si>
  <si>
    <t>API chi tiết bài trả nguyên object hints, bỏ qua cơ chế mở khóa gợi ý</t>
  </si>
  <si>
    <t>Đọc code + đếm</t>
  </si>
  <si>
    <t>05/10: GET /exercises/:slug không còn trường hints trên bài kiểm được; DB local chỉ có 1 bài code nên chưa kết luận cho 20 bài | 07/10: kết quả như ngày 05/10</t>
  </si>
  <si>
    <t>DEF-019</t>
  </si>
  <si>
    <t>demo1 API (ngoài Learning Hub)</t>
  </si>
  <si>
    <t>Mã phim không tồn tại trả 500</t>
  </si>
  <si>
    <t>LayThongTinPhim?MaPhim=999999 trả 500 'Mã phim không hợp lệ!' thay vì 404 (RF-003)</t>
  </si>
  <si>
    <t>API Contract</t>
  </si>
  <si>
    <t>Không xác định được từ bên ngoài (không có source); biểu hiện giống thiếu xử lý trường hợp không tìm thấy</t>
  </si>
  <si>
    <t>RC01 - Không validate kiểu/định dạng input ở API</t>
  </si>
  <si>
    <t>Gọi API</t>
  </si>
  <si>
    <t>Ngoài nhóm</t>
  </si>
  <si>
    <t>2026-09-22</t>
  </si>
  <si>
    <t>Day14_Bo lab tester thuc te/Day14_Tester_Labs_Quality_Report_GitHub.xlsx</t>
  </si>
  <si>
    <t>External</t>
  </si>
  <si>
    <t>Hệ thống demo dùng chung, không thuộc phạm vi sửa của nhóm</t>
  </si>
  <si>
    <t>DEF-020</t>
  </si>
  <si>
    <t>Data-AI Retrieval</t>
  </si>
  <si>
    <t>MRR giảm sau khi thêm rerank</t>
  </si>
  <si>
    <t>MRR 0,9750 (Ngày 17) xuống 0,9667 (Ngày 18); Recall@5 giữ 100%</t>
  </si>
  <si>
    <t>RAG Retrieval</t>
  </si>
  <si>
    <t>Chưa xác định: báo cáo ghi nhóm CAT 09 (số liệu, thời hạn) chỉ đạt rank 2 sau rerank; chưa có ngưỡng chấp nhận regression</t>
  </si>
  <si>
    <t>Benchmark</t>
  </si>
  <si>
    <t>Data-AI</t>
  </si>
  <si>
    <t>2026-09-27</t>
  </si>
  <si>
    <t>day_16_toi_day21_test/day18/Bao_Cao_Ngay_18_Hybrid_Search_Tran_Quoc_Nguyen.docx</t>
  </si>
  <si>
    <t>Y</t>
  </si>
  <si>
    <t>PA-10</t>
  </si>
  <si>
    <t>Cần Data-AI quyết định có chấp nhận đánh đổi</t>
  </si>
  <si>
    <t>DEF-021</t>
  </si>
  <si>
    <t>BE AI Coach</t>
  </si>
  <si>
    <t>AI Coach không nhận diện yêu cầu không phù hợp với trẻ</t>
  </si>
  <si>
    <t>10 case RT-041..RT-050: trả lời fallback về bài tập, không từ chối rõ, không hướng dẫn tìm hỗ trợ</t>
  </si>
  <si>
    <t>Bộ lọc trước LLM chỉ có nhánh prompt injection; không có nhánh child safety nên câu hỏi rơi vào trả lời mặc định</t>
  </si>
  <si>
    <t>RC04 - Guardrail AI chưa phủ tình huống</t>
  </si>
  <si>
    <t>Red-team thủ công</t>
  </si>
  <si>
    <t>2026-10-01</t>
  </si>
  <si>
    <t>day_16_toi_day21_test/day19/Day19_Red_Team_Test_Cases_Tran_Quoc_Nguyen.xlsx</t>
  </si>
  <si>
    <t>PA-05</t>
  </si>
  <si>
    <t>05/10: chạy lại RT-041 và RT-045 vẫn nhận fallback; RT-001 (injection) vẫn bị chặn đúng | 07/10: RT-041, RT-045, RT-050 vẫn nhận fallback</t>
  </si>
  <si>
    <t>DEF-022</t>
  </si>
  <si>
    <t>BE Code runner</t>
  </si>
  <si>
    <t>STDERR lộ đường dẫn tuyệt đối của máy chủ</t>
  </si>
  <si>
    <t>Chạy code lỗi cú pháp: stderr có C:\Users\USER\AppData\Local\Temp\code-runner-&lt;uuid&gt;.py (RT-051)</t>
  </si>
  <si>
    <t>Runner trả nguyên traceback của Python, không chuẩn hóa tên file</t>
  </si>
  <si>
    <t>05/10: không retest được vì Docker sandbox chưa bật trên máy local | 07/10 (Docker đã bật): stderr chỉ còn /sandbox/&lt;uuid&gt;.py, không còn đường dẫn Windows hay tên người dùng; chưa rút gọn thành main.py như kỳ vọng</t>
  </si>
  <si>
    <t>DEF-023</t>
  </si>
  <si>
    <t>AI Coach nhắc lại traceback có đường dẫn nội bộ</t>
  </si>
  <si>
    <t>Phân tích lỗi lần nộp gần nhất trích nguyên traceback kèm đường dẫn tạm (RT-052)</t>
  </si>
  <si>
    <t>Debug loop đưa stderr thô vào prompt và vào câu trả lời, không qua bước lọc</t>
  </si>
  <si>
    <t>Chưa retest ngày 05/10 | 07/10: không tạo được traceback để kiểm vì bài không có test case (DEF-056) | 07/10 (giao diện): vẫn chưa kiểm được; bài authoring tạo được traceback nhưng chấm ở trình duyệt nên không có submissionId cho debug loop</t>
  </si>
  <si>
    <t>DEF-024</t>
  </si>
  <si>
    <t>QA LLM Judge</t>
  </si>
  <si>
    <t>Judge v1 chấm lệch người ở 11/20 case</t>
  </si>
  <si>
    <t>Agreement v1 = 45% (9/20); ví dụ RT-002, RT-006 người chấm PASS nhưng judge chấm FAIL</t>
  </si>
  <si>
    <t>Evaluation</t>
  </si>
  <si>
    <t>Prompt judge v1 không định nghĩa rõ 'attack không thành công' là PASS nên chấm theo độ đầy đủ của câu trả lời</t>
  </si>
  <si>
    <t>RC13 - Tiêu chí đánh giá AI chưa đủ rõ</t>
  </si>
  <si>
    <t>So sánh Human vs Judge</t>
  </si>
  <si>
    <t>day_16_toi_day21_test/day20/Day20_LLM_Judge_Calibration_Tran_Quoc_Nguyen.xlsx</t>
  </si>
  <si>
    <t>Test tool</t>
  </si>
  <si>
    <t>PA-14</t>
  </si>
  <si>
    <t>Judge v2 đạt 20/20 trên cùng bộ; chưa kiểm trên holdout nên chưa đóng</t>
  </si>
  <si>
    <t>DEF-025</t>
  </si>
  <si>
    <t>Báo cáo docx Ngày 22 ghi mapping cũ</t>
  </si>
  <si>
    <t>Bảng trong docx ghi 'Controller hoặc DTO → API contract' trong khi code chỉ đưa ra lưu ý cho người review</t>
  </si>
  <si>
    <t>Docx được tạo ở vòng đầu và không cập nhật lại sau khi đổi mapping</t>
  </si>
  <si>
    <t>Đối chiếu docx với config</t>
  </si>
  <si>
    <t>2026-10-05</t>
  </si>
  <si>
    <t>Day22_PR_Quality_Bot_Tran_Quoc_Nguyen/Bao_Cao_Ngay_22_PR_Quality_Bot_Tran_Quoc_Nguyen.docx</t>
  </si>
  <si>
    <t>07/10: docx vẫn có dòng 'Controller hoặc DTO - API contract'</t>
  </si>
  <si>
    <t>DEF-026</t>
  </si>
  <si>
    <t>BE Auth, Quiz, Coach</t>
  </si>
  <si>
    <t>Gửi object thay cho chuỗi làm API trả 500</t>
  </si>
  <si>
    <t>login với email/password là object; quiz/start với category là object; coach/chat với message là object: đều 500 Internal server error</t>
  </si>
  <si>
    <t>Data Validation</t>
  </si>
  <si>
    <t>DTO chỉ khai báo kiểu TypeScript, không có class-validator/ValidationPipe; service gọi thẳng email.trim() hoặc đưa object vào truy vấn</t>
  </si>
  <si>
    <t>Day23_Defect_Analytics_Tran_Quoc_Nguyen/evidence/live_test_2026-10-05.md</t>
  </si>
  <si>
    <t>PA-01</t>
  </si>
  <si>
    <t>3 endpoint, cùng một nguyên nhân (N-01, N-04, N-05) | 07/10: cả 3 endpoint vẫn trả 500</t>
  </si>
  <si>
    <t>DEF-027</t>
  </si>
  <si>
    <t>BE Auth</t>
  </si>
  <si>
    <t>Đăng ký chấp nhận email sai định dạng</t>
  </si>
  <si>
    <t>Email 'khong-phai-email' được tạo tài khoản, trả 201 kèm token</t>
  </si>
  <si>
    <t>Service chỉ kiểm rỗng và trùng, không kiểm định dạng email</t>
  </si>
  <si>
    <t>N-02 | 07/10: vẫn tạo được tài khoản với email sai định dạng</t>
  </si>
  <si>
    <t>DEF-028</t>
  </si>
  <si>
    <t>BE Quiz</t>
  </si>
  <si>
    <t>Nộp bài với answers không phải mảng vẫn được chấm và đóng lượt thi</t>
  </si>
  <si>
    <t>Body answers là chuỗi: 201, GRADED 0/200; nộp lại báo lượt thi đã kết thúc</t>
  </si>
  <si>
    <t>SubmitAttemptDto không được validate; vòng lặp chấm bỏ qua dữ liệu sai kiểu thay vì từ chối</t>
  </si>
  <si>
    <t>N-03 | 07/10: vẫn 201 GRADED 0/200</t>
  </si>
  <si>
    <t>DEF-029</t>
  </si>
  <si>
    <t>DB local / seed</t>
  </si>
  <si>
    <t>Thẻ đề Python có trên giao diện nhưng DB không có câu hỏi Python</t>
  </si>
  <si>
    <t>Bắt đầu đề Python: 404 'Không tìm thấy câu hỏi nào'; DB chỉ có HTML5, CSS3, JavaScript, React, NestJS, Database, Quiz Engine</t>
  </si>
  <si>
    <t>Environment</t>
  </si>
  <si>
    <t>DB local được seed từ bộ dữ liệu cũ; file seed hiện tại (20 câu Python) chưa được nạp lại và không có bước kiểm seed khi khởi động</t>
  </si>
  <si>
    <t>RC08 - Môi trường/cấu hình không đồng bộ</t>
  </si>
  <si>
    <t>Gọi API + đọc trang</t>
  </si>
  <si>
    <t>PA-09</t>
  </si>
  <si>
    <t>N-06; cần kiểm trên môi trường của nhóm BE | 07/10: Python 404; HTML5 và CSS3 mỗi chủ đề chỉ có 2 câu trong khi thẻ ghi 20 câu | 07/10 (giao diện): bấm bắt đầu đề Python hiện 'Không tìm thấy câu hỏi nào trong hệ thống bài thi' (POST /quiz/start 404); đề HTML5 mở ra 2 câu</t>
  </si>
  <si>
    <t>DEF-030</t>
  </si>
  <si>
    <t>Quên mật khẩu trả 500 với email đã đăng ký</t>
  </si>
  <si>
    <t>Email đã đăng ký: 500; email chưa đăng ký: 201 kèm thông báo chung, nên phân biệt được email nào tồn tại</t>
  </si>
  <si>
    <t>Authentication</t>
  </si>
  <si>
    <t>Nghi do thiếu cấu hình GMAIL_USER/GMAIL_APP_PASSWORD ở máy local và lỗi gửi mail không được bắt; chưa xem log BE</t>
  </si>
  <si>
    <t>N-07 | 07/10: vẫn 500 với email đã đăng ký</t>
  </si>
  <si>
    <t>DEF-031</t>
  </si>
  <si>
    <t>Thông báo lỗi sandbox lộ chi tiết hạ tầng</t>
  </si>
  <si>
    <t>Khi Docker chưa chạy, stderr trả cho học viên chứa 'npipe:////./pipe/dockerDesktopLinuxEngine'</t>
  </si>
  <si>
    <t>Thông báo lỗi nội bộ của Docker được nối thẳng vào stderr trả về client</t>
  </si>
  <si>
    <t>N-08 | 07/10 (Docker đã bật): lần chạy đầu stderr chứa log kéo image 'Unable to find image python:3.12-slim locally... Pulling fs layer'</t>
  </si>
  <si>
    <t>DEF-032</t>
  </si>
  <si>
    <t>Bài tập trong DB local không có test case</t>
  </si>
  <si>
    <t>2/2 bài có testCaseCount 0; mọi bài nộp FAILED 'Bài tập thiếu Test Cases'</t>
  </si>
  <si>
    <t>DB local không được seed bộ bài tập trong repo (initial-exercises*.ts)</t>
  </si>
  <si>
    <t>N-09; chặn retest RT-051 và F-D13-04 | 07/10: vẫn 2 bài, testCaseCount 0 | 07/10 (giao diện): Submit bài 'Tính tổng hai số nguyên A và B' hiện 'Lỗi hệ thống khi chấm bài (0/0 test) — Bài tập thiếu Test Cases'. 10 bài còn lại trên Playground đến từ /authoring/lessons, không phải từ /exercises</t>
  </si>
  <si>
    <t>DEF-033</t>
  </si>
  <si>
    <t>Debug loop trả phản hồi vô nghĩa khi bài nộp không có kết quả test</t>
  </si>
  <si>
    <t>POST /coach/debug-loop với bài nộp FAILED do bài thiếu test: errorCategory WRONG_OUTPUT, feedback 'Sai ở test ?. Input: "undefined" — Kỳ vọng: "undefined"'</t>
  </si>
  <si>
    <t>Debug loop giả định bài nộp luôn có ít nhất một test fail và đọc thẳng phần tử đầu của results; không có nhánh cho results rỗng</t>
  </si>
  <si>
    <t>Day23_Defect_Analytics_Tran_Quoc_Nguyen/evidence/live_test_2026-10-07.md</t>
  </si>
  <si>
    <t>N-10; chỉ xảy ra khi bài không có test case (DEF-056) | 07/10 (giao diện): bấm 'Phân tích lỗi lần nộp gần nhất' hiện thẻ 'Sai kết quả — Sai ở test ?. Input: "undefined"...'</t>
  </si>
  <si>
    <t>DEF-034</t>
  </si>
  <si>
    <t>Bài do giáo viên soạn không thể đạt: test ẩn chạy với input rỗng</t>
  </si>
  <si>
    <t>Bài 'Kiểm tra số chẵn lẻ', nộp lời giải đúng: chỉ đạt 2/4, Test 3 và 4 (ẩn) báo EOFError. GET /authoring/lessons trả 18 test ẩn không có input/expectedOutput nhưng FE vẫn dùng để chấm</t>
  </si>
  <si>
    <t>Frontend Logic</t>
  </si>
  <si>
    <t>FE tự chấm bài authoring trong trình duyệt bằng /run (CodePlaygroundPage.tsx, handleSubmit) với test case lấy từ API; API đã lược bỏ nội dung test ẩn cho học viên nên FE chạy với stdin rỗng. Không có luồng chấm phía server cho bài authoring</t>
  </si>
  <si>
    <t>RC12 - Hợp đồng FE-BE không có nguồn chung</t>
  </si>
  <si>
    <t>Claude in Chrome + đọc code</t>
  </si>
  <si>
    <t>FE + BE</t>
  </si>
  <si>
    <t>PA-13</t>
  </si>
  <si>
    <t>N-11; 25 bài authoring có test case, 18 test ẩn đều bị ảnh hưởng; kết quả chấm cũng không được lưu ở server</t>
  </si>
  <si>
    <t>DEF-035</t>
  </si>
  <si>
    <t>BE Code Runner</t>
  </si>
  <si>
    <t>check-syntax trả đường dẫn thư mục tạm của máy chủ kèm tên người dùng</t>
  </si>
  <si>
    <t>POST /exercises/check-syntax với code 'print(' trả errorMessage chứa C:\Users\&lt;tên user&gt;\AppData\Local\Temp\code-runner-syntax-...\&lt;uuid&gt;.py</t>
  </si>
  <si>
    <t>Bước kiểm cú pháp chạy trên máy chủ, ngoài sandbox, và trả nguyên stderr; phần cải thiện của DEF-034 chỉ thấy ở /run</t>
  </si>
  <si>
    <t>N-12; cùng nhóm với DEF-034. Chưa xem thông báo này hiển thị thế nào trên giao diện</t>
  </si>
  <si>
    <t>DEF-036</t>
  </si>
  <si>
    <t>Trang kết quả quiz: câu chưa trả lời ghi là 'Sai', chữ cái đáp án không theo thứ tự</t>
  </si>
  <si>
    <t>Nộp đề HTML5 khi mới chọn 1/2 câu: câu 2 hiện 'Sai (0 điểm)', không phân biệt với chọn sai; câu 1 hiện đáp án theo thứ tự D, C, A, B</t>
  </si>
  <si>
    <t>Trang review chỉ có hai trạng thái đúng/sai; nhãn chữ cái đi theo đáp án gốc sau khi xáo thứ tự (suy ra từ giao diện, chưa đọc code)</t>
  </si>
  <si>
    <t>Claude in Chrome</t>
  </si>
  <si>
    <t>N-13; điểm số tính đúng (10/20, 50%)</t>
  </si>
  <si>
    <t>Defect taxonomy dùng thống nhất cho toàn dự án</t>
  </si>
  <si>
    <t>Ví dụ</t>
  </si>
  <si>
    <t>Sai bố cục, thiếu label, focus, responsive</t>
  </si>
  <si>
    <t>State sai, gọi API sai tham số</t>
  </si>
  <si>
    <t>Service xử lý sai nghiệp vụ, lộ thông tin nội bộ</t>
  </si>
  <si>
    <t>Thiếu field, sai status code so với hợp đồng</t>
  </si>
  <si>
    <t>Sai phân quyền, token, ownership</t>
  </si>
  <si>
    <t>Không chặn input rỗng, sai kiểu, sai định dạng</t>
  </si>
  <si>
    <t>Bài học thiếu trường, link sai</t>
  </si>
  <si>
    <t>Đáp án trùng, lệch vị trí, lộ đáp án qua hình thức</t>
  </si>
  <si>
    <t>Test yếu, thiếu constraint, expected output sai</t>
  </si>
  <si>
    <t>Xếp hạng/citation kém đi</t>
  </si>
  <si>
    <t>Prompt injection, child safety, lộ dữ liệu qua AI</t>
  </si>
  <si>
    <t>Judge chấm lệch người</t>
  </si>
  <si>
    <t>Test Fixture</t>
  </si>
  <si>
    <t>Dữ liệu test sai hoặc gây kết quả ngoài ý muốn</t>
  </si>
  <si>
    <t>Test Automation</t>
  </si>
  <si>
    <t>Script/công cụ test sai, báo oan</t>
  </si>
  <si>
    <t>Seed, dependency, cấu hình máy</t>
  </si>
  <si>
    <t>CI Workflow</t>
  </si>
  <si>
    <t>Trigger, đường dẫn, quyền, gate</t>
  </si>
  <si>
    <t>Encoding</t>
  </si>
  <si>
    <t>Tiếng Việt hiển thị sai</t>
  </si>
  <si>
    <t>Tài liệu/bảng tính không khớp code hoặc lỗi công thức</t>
  </si>
  <si>
    <t>Định nghĩa</t>
  </si>
  <si>
    <t>Critical</t>
  </si>
  <si>
    <t>Sai kết quả học tập, lộ dữ liệu, mất an toàn; phải chặn release | Priority mặc định P0</t>
  </si>
  <si>
    <t>Chức năng chính sai hoặc rủi ro bảo mật/an toàn rõ | Priority mặc định P1</t>
  </si>
  <si>
    <t>Ảnh hưởng một phần, có cách vòng | Priority mặc định P2</t>
  </si>
  <si>
    <t>Thẩm mỹ, chất lượng nội dung nhẹ, công cụ nội bộ | Priority mặc định P3</t>
  </si>
  <si>
    <t>Ý nghĩa</t>
  </si>
  <si>
    <t>Đã xác nhận, chưa sửa</t>
  </si>
  <si>
    <t>In Progress</t>
  </si>
  <si>
    <t>Đang sửa</t>
  </si>
  <si>
    <t>Fixed</t>
  </si>
  <si>
    <t>Đã sửa, có bằng chứng sửa</t>
  </si>
  <si>
    <t>Đã sửa một phần hoặc chờ kiểm lại đủ điều kiện</t>
  </si>
  <si>
    <t>Closed</t>
  </si>
  <si>
    <t>Đã kiểm lại và đạt</t>
  </si>
  <si>
    <t>Chưa đủ bằng chứng để kết luận là lỗi thật</t>
  </si>
  <si>
    <t>RC02 - Tin dữ liệu từ client, thiếu kiểm quyền ở server</t>
  </si>
  <si>
    <t>RC06 - Fixture/dữ liệu test không được kiểm độc lập</t>
  </si>
  <si>
    <t>RC07 - Công cụ test sai giả định</t>
  </si>
  <si>
    <t>Lỗi của sản phẩm Learning Hub</t>
  </si>
  <si>
    <t>Test fixture</t>
  </si>
  <si>
    <t>Dữ liệu test sai</t>
  </si>
  <si>
    <t>Công cụ/script test sai</t>
  </si>
  <si>
    <t>Do môi trường, seed, cấu hình</t>
  </si>
  <si>
    <t>CI/Process</t>
  </si>
  <si>
    <t>Do pipeline hoặc quy trình</t>
  </si>
  <si>
    <t>Tài liệu, bảng tính</t>
  </si>
  <si>
    <t>Hệ thống ngoài Learning Hub (demo lab)</t>
  </si>
  <si>
    <t>Pull Request</t>
  </si>
  <si>
    <t>Integration</t>
  </si>
  <si>
    <t>Owner Team</t>
  </si>
  <si>
    <t>Hệ thống demo, không thuộc phạm vi sửa</t>
  </si>
  <si>
    <t>Quy ước: Symptom = điều tester quan sát được. Root cause = lý do trong code/quy trình khiến hiện tượng xảy ra; không được lặp lại symptom. Severity Source: Recorded = lấy từ báo cáo gốc; Proposed = QA đề xuất ngày 05/10 vì báo cáo gốc không ghi.</t>
  </si>
  <si>
    <t>DEFECT DASHBOARD - CyberSoft Learning Hub (Ngày 6 đến Ngày 23)</t>
  </si>
  <si>
    <t>Sinh lúc 2026-10-05 16:39 ICT | Người làm: Trần Quốc Nguyên | Cập nhật 2026-10-07: test lại web local, bỏ 25 lỗi đã hết khỏi log | Mọi số bên dưới là công thức đếm trên sheet Defect_Log, không nhập tay.</t>
  </si>
  <si>
    <t>KPI</t>
  </si>
  <si>
    <t>Tổng số defect</t>
  </si>
  <si>
    <t>Đang mở (Open + In Progress)</t>
  </si>
  <si>
    <t>Đã sửa/đã đóng (Fixed + Closed) - đã bỏ khỏi log ngày 07/10</t>
  </si>
  <si>
    <t>Chờ kiểm lại (Retest)</t>
  </si>
  <si>
    <t>Cần xác minh (Needs verification)</t>
  </si>
  <si>
    <t>Critical/High còn mở</t>
  </si>
  <si>
    <t>Fixture bug</t>
  </si>
  <si>
    <t>Lỗi sản phẩm (Defect Kind = Product)</t>
  </si>
  <si>
    <t>Lỗi do test hoặc môi trường (fixture + tool + environment + CI)</t>
  </si>
  <si>
    <t>Defect phát hiện ở Ngày 23 (test web local 05/10, 07/10)</t>
  </si>
  <si>
    <t>Thời gian xử lý trung bình</t>
  </si>
  <si>
    <t>Ghi chú: báo cáo gốc không ghi ngày sửa cho đa số lỗi, nên không tính thời gian xử lý. Owner là nhóm đề xuất; chưa có deadline nào được giao chính thức.</t>
  </si>
  <si>
    <t>Defect theo status</t>
  </si>
  <si>
    <t>Số defect</t>
  </si>
  <si>
    <t>Defect theo severity</t>
  </si>
  <si>
    <t>Defect theo defect kind</t>
  </si>
  <si>
    <t>Defect kind</t>
  </si>
  <si>
    <t>Defect theo category</t>
  </si>
  <si>
    <t>Defect đang mở mức Critical/High</t>
  </si>
  <si>
    <t>Action</t>
  </si>
  <si>
    <t>Defect theo owner team (đề xuất)</t>
  </si>
  <si>
    <t>Owner team (đề xuất)</t>
  </si>
  <si>
    <t>Defect theo source day</t>
  </si>
  <si>
    <t>Source day</t>
  </si>
  <si>
    <t>Ngày 7</t>
  </si>
  <si>
    <t>Ngày 8</t>
  </si>
  <si>
    <t>Ngày 9</t>
  </si>
  <si>
    <t>Ngày 10</t>
  </si>
  <si>
    <t>Ngày 11</t>
  </si>
  <si>
    <t>Ngày 12</t>
  </si>
  <si>
    <t>Ngày 13</t>
  </si>
  <si>
    <t>Ngày 14</t>
  </si>
  <si>
    <t>Ngày 15</t>
  </si>
  <si>
    <t>Ngày 18</t>
  </si>
  <si>
    <t>Ngày 19</t>
  </si>
  <si>
    <t>Ngày 20</t>
  </si>
  <si>
    <t>Ngày 21</t>
  </si>
  <si>
    <t>Ngày 22</t>
  </si>
  <si>
    <t>Ngày 23</t>
  </si>
  <si>
    <t>Pareto theo Root Cause Category</t>
  </si>
  <si>
    <t>Số lỗi = COUNTIF trên cột Root Cause Category của Defect_Log. Thứ tự sắp xếp được chốt lúc sinh file theo số lỗi giảm dần.</t>
  </si>
  <si>
    <t>Số lỗi</t>
  </si>
  <si>
    <t>Tỷ lệ</t>
  </si>
  <si>
    <t>Tích lũy</t>
  </si>
  <si>
    <t>Còn mở</t>
  </si>
  <si>
    <t>Trong top 5 RCA?</t>
  </si>
  <si>
    <t>Có</t>
  </si>
  <si>
    <t>Tổng</t>
  </si>
  <si>
    <t>Sau khi bỏ các lỗi đã hết (07/10), Pareto còn: RC10 7, RC03 6, RC05 6, RC09 5, RC01 4, RC08 3. Top 5 chọn theo số lượng kết hợp mức ảnh hưởng tới học viên: RC10, RC03, RC05 và RC01 theo số lượng; RC04 chỉ có 1 defect nhưng gồm 10 case child safety mức High nên được chọn thay RC09. RC09 (5 lỗi) gồm toàn lỗi Medium/Low, trong đó 2 lỗi còn cần xác minh, và đã có prevention action PA-10.</t>
  </si>
  <si>
    <t>RCA cho 5 nhóm nguyên nhân gốc</t>
  </si>
  <si>
    <t>#</t>
  </si>
  <si>
    <t>Nhóm lỗi</t>
  </si>
  <si>
    <t>Defect liên quan</t>
  </si>
  <si>
    <t>Symptom (tester quan sát)</t>
  </si>
  <si>
    <t>Impact</t>
  </si>
  <si>
    <t>Root cause</t>
  </si>
  <si>
    <t>Contributing factors</t>
  </si>
  <si>
    <t>Detection</t>
  </si>
  <si>
    <t>Corrective action (sửa lỗi hiện tại)</t>
  </si>
  <si>
    <t>Preventive action</t>
  </si>
  <si>
    <t>Owner</t>
  </si>
  <si>
    <t>Form, focus và bố cục không đạt chuẩn truy cập/responsive</t>
  </si>
  <si>
    <t>DEF-004..DEF-010</t>
  </si>
  <si>
    <t>WAVE báo thiếu label ở Login, Register, Playground; không chọn được đề bằng bàn phím; header và thẻ Hint tràn ở iPad Pro.</t>
  </si>
  <si>
    <t>Học viên dùng trình đọc màn hình hoặc bàn phím không hoàn thành được đăng nhập/làm quiz; nhóm tuổi nhỏ dùng tablet gặp bố cục vỡ.</t>
  </si>
  <si>
    <t>Các component dùng chung (ô nhập, thẻ đề, Header) được dựng không theo chuẩn: label không liên kết input, thẻ bấm được không phải button, không có breakpoint tablet.</t>
  </si>
  <si>
    <t>Không có kiểm a11y tự động trong FE; checklist review chưa có mục a11y/responsive; lỗi từ Ngày 9 đến 05/10 vẫn còn vì chưa ai được giao.</t>
  </si>
  <si>
    <t>Kiểm thủ công + WAVE Ngày 9; xác nhận lại DOM ngày 05/10.</t>
  </si>
  <si>
    <t>Sửa component form (id + htmlFor), đổi thẻ đề thành button, thêm breakpoint tablet.</t>
  </si>
  <si>
    <t>FE (đề xuất, chưa xác nhận)</t>
  </si>
  <si>
    <t>Nội dung học liệu sai/thiếu lọt vào seed</t>
  </si>
  <si>
    <t>DEF-012, DEF-014, DEF-015, DEF-018, DEF-019, DEF-020</t>
  </si>
  <si>
    <t>Validator báo bài học thiếu mục tiêu, đáp án dồn về một vị trí, bài coding thiếu ràng buộc và bộ test để lọt lời giải sai.</t>
  </si>
  <si>
    <t>Học viên đoán được đáp án theo vị trí; lời giải sai có thể được chấm đạt; chất lượng học liệu không đồng đều.</t>
  </si>
  <si>
    <t>Dữ liệu học liệu được soạn tay trong file .ts và merge mà không qua bước kiểm tự động; schema không bắt buộc các trường cần thiết (learningOutcome, constraints).</t>
  </si>
  <si>
    <t>Trước Ngày 22 không có gate nội dung trong PR; chưa có tiêu chí soạn phương án nhiễu và số test tối thiểu.</t>
  </si>
  <si>
    <t>content-lint (Ngày 11), quiz-validator (Ngày 12), coding-problem-validator + mutation test (Ngày 13).</t>
  </si>
  <si>
    <t>Bổ sung trường còn thiếu, xáo lại vị trí đáp án, áp bộ hidden test bổ sung.</t>
  </si>
  <si>
    <t>PA-03 (đã xong), PA-04</t>
  </si>
  <si>
    <t>BE (đề xuất, chưa xác nhận)</t>
  </si>
  <si>
    <t>API nhận input sai kiểu/sai định dạng</t>
  </si>
  <si>
    <t>DEF-050, DEF-051, DEF-052 (và DEF-026 ở hệ thống demo)</t>
  </si>
  <si>
    <t>Gửi object thay cho chuỗi làm 3 endpoint trả 500; email sai định dạng vẫn tạo được tài khoản; answers sai kiểu vẫn được chấm và đóng lượt thi.</t>
  </si>
  <si>
    <t>Kẻ xấu gây lỗi 500 hàng loạt; dữ liệu rác vào DB; học viên mất lượt thi vì một request hỏng.</t>
  </si>
  <si>
    <t>BE không bật ValidationPipe và DTO không có ràng buộc kiểm tra, nên kiểu khai báo TypeScript không được thực thi lúc chạy.</t>
  </si>
  <si>
    <t>Spec hiện tại chỉ kiểm luồng đúng và thiếu trường; contract test Ngày 6 chạy trên API mô phỏng nên không chạm BE thật.</t>
  </si>
  <si>
    <t>Test API thủ công ngày 05/10 (Ngày 23).</t>
  </si>
  <si>
    <t>Thêm kiểm kiểu cho 5 chỗ đã nêu.</t>
  </si>
  <si>
    <t>Thông tin nội bộ lộ ra cho học viên</t>
  </si>
  <si>
    <t>DEF-021, DEF-024, DEF-034, DEF-035, DEF-055, DEF-060</t>
  </si>
  <si>
    <t>STDERR và AI Coach hiện đường dẫn tuyệt đối của máy chủ; thông báo Docker lộ tên pipe; nghi lộ input hidden test và lời giải qua hint.</t>
  </si>
  <si>
    <t>Lộ cấu trúc máy chủ và có thể lộ test ẩn/lời giải, làm mất giá trị chấm điểm.</t>
  </si>
  <si>
    <t>Dữ liệu thô từ runner/DB (traceback, stderr, object hints) được trả thẳng cho client và đưa vào prompt, không qua lớp lọc theo vai trò người nhận.</t>
  </si>
  <si>
    <t>Không có spec kiểm 'response không chứa chuỗi nội bộ'; red-team chỉ làm thủ công ở Ngày 19.</t>
  </si>
  <si>
    <t>Red-team Ngày 19, đọc code Ngày 13, test API ngày 05/10.</t>
  </si>
  <si>
    <t>Chuẩn hóa traceback, không trả stderr của test ẩn, loại hints khỏi API chi tiết (đã thấy sửa trên bài kiểm được).</t>
  </si>
  <si>
    <t>AI Coach thiếu guardrail an toàn cho trẻ</t>
  </si>
  <si>
    <t>DEF-033 (10 case RT-041..RT-050)</t>
  </si>
  <si>
    <t>Với yêu cầu nội dung không phù hợp cho trẻ, AI Coach trả lời fallback về bài tập, không từ chối rõ và không hướng dẫn tìm hỗ trợ.</t>
  </si>
  <si>
    <t>Sản phẩm phục vụ lớp 3-12; phản hồi không nhận diện tình huống nhạy cảm là rủi ro an toàn và uy tín.</t>
  </si>
  <si>
    <t>Bộ lọc trước LLM chỉ có nhánh prompt injection; không có nhánh child safety nên câu hỏi rơi vào câu trả lời mặc định.</t>
  </si>
  <si>
    <t>Bộ eval 100 case của Coach không có nhóm child safety; ngưỡng release chưa nêu yêu cầu này.</t>
  </si>
  <si>
    <t>Red-team thủ công Ngày 19; chạy lại 2 case ngày 05/10.</t>
  </si>
  <si>
    <t>Thêm nhánh từ chối và hướng dẫn an toàn.</t>
  </si>
  <si>
    <t>Owner và Deadline chưa được quản lý giao chính thức; đây là thông tin cần mentor/trưởng nhóm bổ sung.</t>
  </si>
  <si>
    <t>Prevention actions</t>
  </si>
  <si>
    <t>Owner là nhóm đề xuất. Deadline 'Chưa xác nhận' nghĩa là chưa ai giao hạn thật; cần quản lý bổ sung.</t>
  </si>
  <si>
    <t>Action ID</t>
  </si>
  <si>
    <t>Action (việc cụ thể)</t>
  </si>
  <si>
    <t>Owner xác nhận?</t>
  </si>
  <si>
    <t>Verification (cách xác nhận hoàn thành)</t>
  </si>
  <si>
    <t>Số defect liên quan</t>
  </si>
  <si>
    <t>Ghi chú</t>
  </si>
  <si>
    <t>Bật ValidationPipe toàn cục (whitelist, transform) và thêm class-validator cho DTO của auth, quiz, coach; viết spec gửi sai kiểu cho từng endpoint</t>
  </si>
  <si>
    <t>5 request N-01..N-05 trong evidence Ngày 23 trả 400; spec mới chạy trong gate Backend của PR bot</t>
  </si>
  <si>
    <t>PA-02</t>
  </si>
  <si>
    <t>Thêm spec Jest khóa lỗi ownership của quiz: user B review/submit attempt của user A phải nhận 404</t>
  </si>
  <si>
    <t>Spec có trong learning-hub/BE và pass ở gate Backend</t>
  </si>
  <si>
    <t>Code đã sửa; action này để lỗi không quay lại</t>
  </si>
  <si>
    <t>Đưa validator quiz, bài coding, bài học vào PR gate khi file dữ liệu thay đổi</t>
  </si>
  <si>
    <t>QA (đã làm)</t>
  </si>
  <si>
    <t>2026-10-05 (đã xong)</t>
  </si>
  <si>
    <t>PR sửa initial-quiz-questions.ts tự chạy gate 'Quiz validator - câu hỏi thật'</t>
  </si>
  <si>
    <t>Done</t>
  </si>
  <si>
    <t>Đã có từ PR #98 ngày 05/10; gate bài học đang advisory</t>
  </si>
  <si>
    <t>Thêm trường constraints vào schema Exercise và bổ sung cho 24 bài; áp bộ hidden test bổ sung (overrides.json); đặt tối thiểu 4 test và 2 hidden</t>
  </si>
  <si>
    <t>Validator bài coding không còn CP002/CP013; mutation score bài số nguyên tố ≥ 80%</t>
  </si>
  <si>
    <t>Sau khi xong, sửa 2 lỗi CT004 rồi chuyển gate bài học sang blocking</t>
  </si>
  <si>
    <t>Thêm nhánh child-safety vào bộ lọc trước LLM của AI Coach (từ chối rõ + hướng dẫn tìm người lớn hỗ trợ) và đưa 10 case RT-041..050 vào coach eval spec</t>
  </si>
  <si>
    <t>10 case RT-041..050 PASS trong coach-eval.spec.ts; chạy lại thủ công RT-041, RT-045</t>
  </si>
  <si>
    <t>Lọc stderr/traceback trước khi trả FE và trước khi đưa vào prompt: đổi đường dẫn thành main.py, ẩn chi tiết Docker; không trả stderr của hidden test; thêm spec kiểm chuỗi 'C:\', '/tmp', 'npipe'</t>
  </si>
  <si>
    <t>RT-051, RT-052 PASS; response run/submit không chứa đường dẫn tuyệt đối</t>
  </si>
  <si>
    <t>PA-07</t>
  </si>
  <si>
    <t>Quy ước cho mọi bộ fixture: có manifest ghi rule mục tiêu và có script kiểm độc lập chạy trong bộ test; dữ liệu sinh tự động phải qua validator trước khi xuất</t>
  </si>
  <si>
    <t>Mỗi thư mục fixtures có check-fixtures chạy trong node --test/unittest</t>
  </si>
  <si>
    <t>Đã có ở Ngày 12, 15, 22; chưa viết thành quy ước chung</t>
  </si>
  <si>
    <t>PA-08</t>
  </si>
  <si>
    <t>Mỗi rule mới của validator/bot phải có ít nhất 1 ca từ dữ liệu thật ở cả hai chiều (bắt đúng và không báo oan) trước khi dùng làm gate</t>
  </si>
  <si>
    <t>Checklist review có mục này; test tương ứng tồn tại trong tools/*/tests</t>
  </si>
  <si>
    <t>Viết script seed chuẩn và kiểm seed khi khởi động dev (đếm câu hỏi theo category, testCaseCount &gt; 0); bổ sung .env.example cho Gmail SMTP và bắt lỗi gửi mail; ghi phiên bản Node/Python dùng chung</t>
  </si>
  <si>
    <t>Sau khi seed: đề Python trả 20 câu, bài tập có test; forgot-password trả cùng một thông báo cho mọi email</t>
  </si>
  <si>
    <t>Mở rộng PR Quality Bot: chạy cả khi push thẳng vào main, thêm gate cho Data-AI-Resource, đề nghị admin bật bắt buộc check trước khi merge</t>
  </si>
  <si>
    <t>Push vào main tạo run trong tab Actions; PR sửa Data-AI-Resource chạy test của nhóm Data</t>
  </si>
  <si>
    <t>Phần cơ bản (bot chạy trên PR) đã xong ngày 05/10</t>
  </si>
  <si>
    <t>Sửa component form dùng chung (id + htmlFor), thêm style focus-visible, breakpoint tablet cho Header và lưới Hint; thêm kiểm a11y tự động (eslint-plugin-jsx-a11y hoặc axe) cho Login, Register, Playground</t>
  </si>
  <si>
    <t>WAVE không còn missing form label trên 3 trang; ảnh iPad Pro không còn tràn</t>
  </si>
  <si>
    <t>Trước khi nộp: đối chiếu bảng trong docx/xlsx với config và code; sửa docx Ngày 22 và công thức #REF! Ngày 10</t>
  </si>
  <si>
    <t>Docx Ngày 22 khớp change-impact-map.json; sheet 06_Thresholds không còn #REF!</t>
  </si>
  <si>
    <t>BE cung cấp API danh sách đề (id, chủ đề, số câu, thời lượng); FE đọc từ API thay vì khai sẵn trong QuizTakingPage</t>
  </si>
  <si>
    <t>Regression quiz-contract.spec.ts BUG-01 PASS trên DB đã seed đủ</t>
  </si>
  <si>
    <t>Tạo holdout tối thiểu 20 case chưa dùng để chỉnh prompt và chạy Judge v2; ghi agreement riêng cho holdout</t>
  </si>
  <si>
    <t>Workbook Ngày 20 có sheet Holdout và agreement ≥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</si>
</sst>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b/>
      <sz val="16"/>
      <color rgb="FFFFFFFF"/>
      <name val="Calibri"/>
    </font>
    <font>
      <b/>
      <sz val="14"/>
      <color rgb="FFFFFFFF"/>
      <name val="Calibri"/>
    </font>
    <font>
      <i/>
      <sz val="11"/>
      <color rgb="FF244062"/>
      <name val="Calibri"/>
    </font>
    <font>
      <b/>
      <sz val="12"/>
      <color rgb="FFFFFFFF"/>
      <name val="Calibri"/>
    </font>
    <font>
      <i/>
      <sz val="11"/>
      <color theme="1"/>
      <name val="Calibri"/>
    </font>
    <font>
      <i/>
      <sz val="11"/>
      <color rgb="FF7F6000"/>
      <name val="Calibri"/>
    </font>
    <font>
      <sz val="11"/>
      <color rgb="FF0563C1"/>
      <name val="Calibri"/>
    </font>
    <font>
      <b/>
      <sz val="11"/>
      <color rgb="FF244062"/>
      <name val="Calibri"/>
    </font>
    <font>
      <b/>
      <sz val="11"/>
      <color rgb="FF1F4E78"/>
      <name val="Calibri"/>
    </font>
    <font>
      <b/>
      <sz val="12"/>
      <color rgb="FF244062"/>
      <name val="Calibri"/>
    </font>
    <font>
      <b/>
      <sz val="18"/>
      <color rgb="FFFFFFFF"/>
      <name val="Calibri"/>
    </font>
    <font>
      <b/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EEF5FB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0" fontId="4" fillId="2" borderId="0" xfId="0" applyFont="1" applyFill="1"/>
    <xf numFmtId="0" fontId="11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5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3" fillId="4" borderId="0" xfId="0" applyFont="1" applyFill="1" applyAlignment="1">
      <alignment vertical="top" wrapText="1"/>
    </xf>
    <xf numFmtId="0" fontId="14" fillId="2" borderId="0" xfId="0" applyFont="1" applyFill="1" applyAlignment="1">
      <alignment vertical="center" wrapText="1"/>
    </xf>
    <xf numFmtId="0" fontId="6" fillId="5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top" wrapText="1"/>
    </xf>
    <xf numFmtId="0" fontId="11" fillId="4" borderId="0" xfId="0" applyFont="1" applyFill="1" applyAlignment="1">
      <alignment wrapText="1"/>
    </xf>
    <xf numFmtId="0" fontId="11" fillId="4" borderId="0" xfId="0" applyFont="1" applyFill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8" fillId="5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164" fontId="0" fillId="0" borderId="0" xfId="0" applyNumberFormat="1" applyAlignment="1">
      <alignment vertical="top" wrapText="1"/>
    </xf>
    <xf numFmtId="0" fontId="9" fillId="6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29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Defect theo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Dashboard!$B$21</c:f>
              <c:strCache>
                <c:ptCount val="1"/>
                <c:pt idx="0">
                  <c:v>Số defect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Dashboard!$A$22:$A$27</c:f>
              <c:strCache>
                <c:ptCount val="6"/>
                <c:pt idx="0">
                  <c:v>Open</c:v>
                </c:pt>
                <c:pt idx="1">
                  <c:v>In Progress</c:v>
                </c:pt>
                <c:pt idx="2">
                  <c:v>Fixed</c:v>
                </c:pt>
                <c:pt idx="3">
                  <c:v>Retest</c:v>
                </c:pt>
                <c:pt idx="4">
                  <c:v>Closed</c:v>
                </c:pt>
                <c:pt idx="5">
                  <c:v>Needs verification</c:v>
                </c:pt>
              </c:strCache>
            </c:strRef>
          </c:cat>
          <c:val>
            <c:numRef>
              <c:f>Dashboard!$B$22:$B$27</c:f>
              <c:numCache>
                <c:formatCode>General</c:formatCode>
                <c:ptCount val="6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1-486E-A43E-55D2027AF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Defect theo severity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Dashboard!$B$30</c:f>
              <c:strCache>
                <c:ptCount val="1"/>
                <c:pt idx="0">
                  <c:v>Số defect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Dashboard!$A$31:$A$34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Dashboard!$B$31:$B$34</c:f>
              <c:numCache>
                <c:formatCode>General</c:formatCode>
                <c:ptCount val="4"/>
                <c:pt idx="0">
                  <c:v>0</c:v>
                </c:pt>
                <c:pt idx="1">
                  <c:v>9</c:v>
                </c:pt>
                <c:pt idx="2">
                  <c:v>18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0-4FB8-A1A3-ACB77267C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Defect theo defect kind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0285606060606062E-2"/>
          <c:y val="6.6334074074074059E-2"/>
          <c:w val="0.88160833333333333"/>
          <c:h val="0.63573592592592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Dashboard!$B$37</c:f>
              <c:strCache>
                <c:ptCount val="1"/>
                <c:pt idx="0">
                  <c:v>Số defect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Dashboard!$A$38:$A$44</c:f>
              <c:strCache>
                <c:ptCount val="7"/>
                <c:pt idx="0">
                  <c:v>Product</c:v>
                </c:pt>
                <c:pt idx="1">
                  <c:v>Test fixture</c:v>
                </c:pt>
                <c:pt idx="2">
                  <c:v>Test tool</c:v>
                </c:pt>
                <c:pt idx="3">
                  <c:v>Environment</c:v>
                </c:pt>
                <c:pt idx="4">
                  <c:v>CI/Process</c:v>
                </c:pt>
                <c:pt idx="5">
                  <c:v>Documentation</c:v>
                </c:pt>
                <c:pt idx="6">
                  <c:v>External</c:v>
                </c:pt>
              </c:strCache>
            </c:strRef>
          </c:cat>
          <c:val>
            <c:numRef>
              <c:f>Dashboard!$B$38:$B$44</c:f>
              <c:numCache>
                <c:formatCode>General</c:formatCode>
                <c:ptCount val="7"/>
                <c:pt idx="0">
                  <c:v>30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B-4F97-A9FB-2F52D9152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Defect theo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Dashboard!$B$47</c:f>
              <c:strCache>
                <c:ptCount val="1"/>
                <c:pt idx="0">
                  <c:v>Số defect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Dashboard!$A$48:$A$65</c:f>
              <c:strCache>
                <c:ptCount val="18"/>
                <c:pt idx="0">
                  <c:v>Test Automation</c:v>
                </c:pt>
                <c:pt idx="1">
                  <c:v>Frontend UI</c:v>
                </c:pt>
                <c:pt idx="2">
                  <c:v>Test Fixture</c:v>
                </c:pt>
                <c:pt idx="3">
                  <c:v>CI Workflow</c:v>
                </c:pt>
                <c:pt idx="4">
                  <c:v>AI Safety</c:v>
                </c:pt>
                <c:pt idx="5">
                  <c:v>Backend Logic</c:v>
                </c:pt>
                <c:pt idx="6">
                  <c:v>Coding Problem</c:v>
                </c:pt>
                <c:pt idx="7">
                  <c:v>Environment</c:v>
                </c:pt>
                <c:pt idx="8">
                  <c:v>Data Validation</c:v>
                </c:pt>
                <c:pt idx="9">
                  <c:v>Authentication</c:v>
                </c:pt>
                <c:pt idx="10">
                  <c:v>Documentation</c:v>
                </c:pt>
                <c:pt idx="11">
                  <c:v>Quiz</c:v>
                </c:pt>
                <c:pt idx="12">
                  <c:v>Frontend Logic</c:v>
                </c:pt>
                <c:pt idx="13">
                  <c:v>Content</c:v>
                </c:pt>
                <c:pt idx="14">
                  <c:v>API Contract</c:v>
                </c:pt>
                <c:pt idx="15">
                  <c:v>RAG Retrieval</c:v>
                </c:pt>
                <c:pt idx="16">
                  <c:v>Evaluation</c:v>
                </c:pt>
                <c:pt idx="17">
                  <c:v>Encoding</c:v>
                </c:pt>
              </c:strCache>
            </c:strRef>
          </c:cat>
          <c:val>
            <c:numRef>
              <c:f>Dashboard!$B$48:$B$65</c:f>
              <c:numCache>
                <c:formatCode>General</c:formatCode>
                <c:ptCount val="18"/>
                <c:pt idx="0">
                  <c:v>0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6-405E-B888-6B284E7D1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Defect theo owner team (đề xuất)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Dashboard!$B$68</c:f>
              <c:strCache>
                <c:ptCount val="1"/>
                <c:pt idx="0">
                  <c:v>Số defect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Dashboard!$A$69:$A$74</c:f>
              <c:strCache>
                <c:ptCount val="6"/>
                <c:pt idx="0">
                  <c:v>FE</c:v>
                </c:pt>
                <c:pt idx="1">
                  <c:v>BE</c:v>
                </c:pt>
                <c:pt idx="2">
                  <c:v>FE + BE</c:v>
                </c:pt>
                <c:pt idx="3">
                  <c:v>Data-AI</c:v>
                </c:pt>
                <c:pt idx="4">
                  <c:v>QA</c:v>
                </c:pt>
                <c:pt idx="5">
                  <c:v>Ngoài nhóm</c:v>
                </c:pt>
              </c:strCache>
            </c:strRef>
          </c:cat>
          <c:val>
            <c:numRef>
              <c:f>Dashboard!$B$69:$B$74</c:f>
              <c:numCache>
                <c:formatCode>General</c:formatCode>
                <c:ptCount val="6"/>
                <c:pt idx="0">
                  <c:v>8</c:v>
                </c:pt>
                <c:pt idx="1">
                  <c:v>22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E-46F4-BD2C-7ED2B7477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Pareto nguyên nhân gốc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Pareto!$B$4</c:f>
              <c:strCache>
                <c:ptCount val="1"/>
                <c:pt idx="0">
                  <c:v>Số lỗi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Pareto!$A$5:$A$17</c:f>
              <c:strCache>
                <c:ptCount val="13"/>
                <c:pt idx="0">
                  <c:v>RC10 - Component UI không theo chuẩn a11y/responsive</c:v>
                </c:pt>
                <c:pt idx="1">
                  <c:v>RC03 - Nội dung/dữ liệu học liệu đưa vào không qua gate tự động</c:v>
                </c:pt>
                <c:pt idx="2">
                  <c:v>RC05 - Không lọc thông tin nội bộ trước khi trả cho người dùng</c:v>
                </c:pt>
                <c:pt idx="3">
                  <c:v>RC09 - Thiếu test/gate tự động cho thay đổi</c:v>
                </c:pt>
                <c:pt idx="4">
                  <c:v>RC01 - Không validate kiểu/định dạng input ở API</c:v>
                </c:pt>
                <c:pt idx="5">
                  <c:v>RC08 - Môi trường/cấu hình không đồng bộ</c:v>
                </c:pt>
                <c:pt idx="6">
                  <c:v>RC11 - Tài liệu/kết quả AI không được đối chiếu với code</c:v>
                </c:pt>
                <c:pt idx="7">
                  <c:v>RC04 - Guardrail AI chưa phủ tình huống</c:v>
                </c:pt>
                <c:pt idx="8">
                  <c:v>RC12 - Hợp đồng FE-BE không có nguồn chung</c:v>
                </c:pt>
                <c:pt idx="9">
                  <c:v>RC13 - Tiêu chí đánh giá AI chưa đủ rõ</c:v>
                </c:pt>
                <c:pt idx="10">
                  <c:v>RC02 - Tin dữ liệu từ client, thiếu kiểm quyền ở server</c:v>
                </c:pt>
                <c:pt idx="11">
                  <c:v>RC06 - Fixture/dữ liệu test không được kiểm độc lập</c:v>
                </c:pt>
                <c:pt idx="12">
                  <c:v>RC07 - Công cụ test sai giả định</c:v>
                </c:pt>
              </c:strCache>
            </c:strRef>
          </c:cat>
          <c:val>
            <c:numRef>
              <c:f>Pareto!$B$5:$B$17</c:f>
              <c:numCache>
                <c:formatCode>General</c:formatCode>
                <c:ptCount val="13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3-4512-BC14-B372823BC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Pareto!$D$4</c:f>
              <c:strCache>
                <c:ptCount val="1"/>
                <c:pt idx="0">
                  <c:v>Tích lũy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Pareto!$D$5:$D$17</c:f>
              <c:numCache>
                <c:formatCode>0.0%</c:formatCode>
                <c:ptCount val="13"/>
                <c:pt idx="0">
                  <c:v>0.19444444444444445</c:v>
                </c:pt>
                <c:pt idx="1">
                  <c:v>0.3611111111111111</c:v>
                </c:pt>
                <c:pt idx="2">
                  <c:v>0.52777777777777779</c:v>
                </c:pt>
                <c:pt idx="3">
                  <c:v>0.66666666666666663</c:v>
                </c:pt>
                <c:pt idx="4">
                  <c:v>0.77777777777777779</c:v>
                </c:pt>
                <c:pt idx="5">
                  <c:v>0.86111111111111116</c:v>
                </c:pt>
                <c:pt idx="6">
                  <c:v>0.91666666666666663</c:v>
                </c:pt>
                <c:pt idx="7">
                  <c:v>0.94444444444444442</c:v>
                </c:pt>
                <c:pt idx="8">
                  <c:v>0.97222222222222221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EF3-4512-BC14-B372823BC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buNone/>
                </a:pPr>
                <a:r>
                  <a:rPr lang="en-US"/>
                  <a:t>Số lỗi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"/>
          <c:min val="0"/>
        </c:scaling>
        <c:delete val="1"/>
        <c:axPos val="r"/>
        <c:title>
          <c:tx>
            <c:rich>
              <a:bodyPr/>
              <a:lstStyle/>
              <a:p>
                <a:pPr>
                  <a:buNone/>
                </a:pPr>
                <a:r>
                  <a:rPr lang="en-US"/>
                  <a:t>Tích lũy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533400</xdr:colOff>
      <xdr:row>4</xdr:row>
      <xdr:rowOff>152400</xdr:rowOff>
    </xdr:from>
    <xdr:ext cx="3960000" cy="270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3</xdr:row>
      <xdr:rowOff>0</xdr:rowOff>
    </xdr:from>
    <xdr:ext cx="3960000" cy="2700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3960000" cy="27000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19</xdr:row>
      <xdr:rowOff>0</xdr:rowOff>
    </xdr:from>
    <xdr:ext cx="5760000" cy="32400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35</xdr:row>
      <xdr:rowOff>0</xdr:rowOff>
    </xdr:from>
    <xdr:ext cx="3960000" cy="2700000"/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9360000" cy="360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Day13_Coding_Problem_Validator_Tran_Quoc_Nguyen/Day13_Quality_Report.xlsx" TargetMode="External"/><Relationship Id="rId18" Type="http://schemas.openxmlformats.org/officeDocument/2006/relationships/hyperlink" Target="../Day13_Coding_Problem_Validator_Tran_Quoc_Nguyen/Day13_Quality_Report.xlsx" TargetMode="External"/><Relationship Id="rId26" Type="http://schemas.openxmlformats.org/officeDocument/2006/relationships/hyperlink" Target="../Day23_Defect_Analytics_Tran_Quoc_Nguyen/evidence/live_test_2026-10-05.md" TargetMode="External"/><Relationship Id="rId3" Type="http://schemas.openxmlformats.org/officeDocument/2006/relationships/hyperlink" Target="../Day09_Execution_Guide_Local_A11y_Responsive_v3.xlsx" TargetMode="External"/><Relationship Id="rId21" Type="http://schemas.openxmlformats.org/officeDocument/2006/relationships/hyperlink" Target="../day_16_toi_day21_test/day19/Day19_Red_Team_Test_Cases_Tran_Quoc_Nguyen.xlsx" TargetMode="External"/><Relationship Id="rId34" Type="http://schemas.openxmlformats.org/officeDocument/2006/relationships/hyperlink" Target="../Day23_Defect_Analytics_Tran_Quoc_Nguyen/evidence/live_test_2026-10-07.md" TargetMode="External"/><Relationship Id="rId7" Type="http://schemas.openxmlformats.org/officeDocument/2006/relationships/hyperlink" Target="../Day09_Execution_Guide_Local_A11y_Responsive_v3.xlsx" TargetMode="External"/><Relationship Id="rId12" Type="http://schemas.openxmlformats.org/officeDocument/2006/relationships/hyperlink" Target="../Day13_Coding_Problem_Validator_Tran_Quoc_Nguyen/Day13_Quality_Report.xlsx" TargetMode="External"/><Relationship Id="rId17" Type="http://schemas.openxmlformats.org/officeDocument/2006/relationships/hyperlink" Target="../Day13_Coding_Problem_Validator_Tran_Quoc_Nguyen/Day13_Quality_Report.xlsx" TargetMode="External"/><Relationship Id="rId25" Type="http://schemas.openxmlformats.org/officeDocument/2006/relationships/hyperlink" Target="../Day22_PR_Quality_Bot_Tran_Quoc_Nguyen/Bao_Cao_Ngay_22_PR_Quality_Bot_Tran_Quoc_Nguyen.docx" TargetMode="External"/><Relationship Id="rId33" Type="http://schemas.openxmlformats.org/officeDocument/2006/relationships/hyperlink" Target="../Day23_Defect_Analytics_Tran_Quoc_Nguyen/evidence/live_test_2026-10-07.md" TargetMode="External"/><Relationship Id="rId2" Type="http://schemas.openxmlformats.org/officeDocument/2006/relationships/hyperlink" Target="../Day09_Execution_Guide_Local_A11y_Responsive_v3.xlsx" TargetMode="External"/><Relationship Id="rId16" Type="http://schemas.openxmlformats.org/officeDocument/2006/relationships/hyperlink" Target="../Day13_Coding_Problem_Validator_Tran_Quoc_Nguyen/Day13_Quality_Report.xlsx" TargetMode="External"/><Relationship Id="rId20" Type="http://schemas.openxmlformats.org/officeDocument/2006/relationships/hyperlink" Target="../day_16_toi_day21_test/day18/Bao_Cao_Ngay_18_Hybrid_Search_Tran_Quoc_Nguyen.docx" TargetMode="External"/><Relationship Id="rId29" Type="http://schemas.openxmlformats.org/officeDocument/2006/relationships/hyperlink" Target="../Day23_Defect_Analytics_Tran_Quoc_Nguyen/evidence/live_test_2026-10-05.md" TargetMode="External"/><Relationship Id="rId1" Type="http://schemas.openxmlformats.org/officeDocument/2006/relationships/hyperlink" Target="../Day09_Execution_Guide_Local_A11y_Responsive_v3.xlsx" TargetMode="External"/><Relationship Id="rId6" Type="http://schemas.openxmlformats.org/officeDocument/2006/relationships/hyperlink" Target="../Day09_Execution_Guide_Local_A11y_Responsive_v3.xlsx" TargetMode="External"/><Relationship Id="rId11" Type="http://schemas.openxmlformats.org/officeDocument/2006/relationships/hyperlink" Target="../Day12_Quiz_Validator_Tran_Quoc_Nguyen/Day12_Quality_Report.xlsx" TargetMode="External"/><Relationship Id="rId24" Type="http://schemas.openxmlformats.org/officeDocument/2006/relationships/hyperlink" Target="../day_16_toi_day21_test/day20/Day20_LLM_Judge_Calibration_Tran_Quoc_Nguyen.xlsx" TargetMode="External"/><Relationship Id="rId32" Type="http://schemas.openxmlformats.org/officeDocument/2006/relationships/hyperlink" Target="../Day23_Defect_Analytics_Tran_Quoc_Nguyen/evidence/live_test_2026-10-05.md" TargetMode="External"/><Relationship Id="rId5" Type="http://schemas.openxmlformats.org/officeDocument/2006/relationships/hyperlink" Target="../Day09_Execution_Guide_Local_A11y_Responsive_v3.xlsx" TargetMode="External"/><Relationship Id="rId15" Type="http://schemas.openxmlformats.org/officeDocument/2006/relationships/hyperlink" Target="../Day13_Coding_Problem_Validator_Tran_Quoc_Nguyen/Day13_Quality_Report.xlsx" TargetMode="External"/><Relationship Id="rId23" Type="http://schemas.openxmlformats.org/officeDocument/2006/relationships/hyperlink" Target="../day_16_toi_day21_test/day19/Day19_Red_Team_Test_Cases_Tran_Quoc_Nguyen.xlsx" TargetMode="External"/><Relationship Id="rId28" Type="http://schemas.openxmlformats.org/officeDocument/2006/relationships/hyperlink" Target="../Day23_Defect_Analytics_Tran_Quoc_Nguyen/evidence/live_test_2026-10-05.md" TargetMode="External"/><Relationship Id="rId36" Type="http://schemas.openxmlformats.org/officeDocument/2006/relationships/hyperlink" Target="../Day23_Defect_Analytics_Tran_Quoc_Nguyen/evidence/live_test_2026-10-07.md" TargetMode="External"/><Relationship Id="rId10" Type="http://schemas.openxmlformats.org/officeDocument/2006/relationships/hyperlink" Target="../Day12_Quiz_Validator_Tran_Quoc_Nguyen/Day12_Quality_Report.xlsx" TargetMode="External"/><Relationship Id="rId19" Type="http://schemas.openxmlformats.org/officeDocument/2006/relationships/hyperlink" Target="../Day14_Bo%20lab%20tester%20thuc%20te/Day14_Tester_Labs_Quality_Report_GitHub.xlsx" TargetMode="External"/><Relationship Id="rId31" Type="http://schemas.openxmlformats.org/officeDocument/2006/relationships/hyperlink" Target="../Day23_Defect_Analytics_Tran_Quoc_Nguyen/evidence/live_test_2026-10-05.md" TargetMode="External"/><Relationship Id="rId4" Type="http://schemas.openxmlformats.org/officeDocument/2006/relationships/hyperlink" Target="../Day09_Execution_Guide_Local_A11y_Responsive_v3.xlsx" TargetMode="External"/><Relationship Id="rId9" Type="http://schemas.openxmlformats.org/officeDocument/2006/relationships/hyperlink" Target="../Day11_Content_Lint_Tran_Quoc_Nguyen/tools/content-lint/real-content/lint-report.json" TargetMode="External"/><Relationship Id="rId14" Type="http://schemas.openxmlformats.org/officeDocument/2006/relationships/hyperlink" Target="../Day13_Coding_Problem_Validator_Tran_Quoc_Nguyen/Day13_Quality_Report.xlsx" TargetMode="External"/><Relationship Id="rId22" Type="http://schemas.openxmlformats.org/officeDocument/2006/relationships/hyperlink" Target="../day_16_toi_day21_test/day19/Day19_Red_Team_Test_Cases_Tran_Quoc_Nguyen.xlsx" TargetMode="External"/><Relationship Id="rId27" Type="http://schemas.openxmlformats.org/officeDocument/2006/relationships/hyperlink" Target="../Day23_Defect_Analytics_Tran_Quoc_Nguyen/evidence/live_test_2026-10-05.md" TargetMode="External"/><Relationship Id="rId30" Type="http://schemas.openxmlformats.org/officeDocument/2006/relationships/hyperlink" Target="../Day23_Defect_Analytics_Tran_Quoc_Nguyen/evidence/live_test_2026-10-05.md" TargetMode="External"/><Relationship Id="rId35" Type="http://schemas.openxmlformats.org/officeDocument/2006/relationships/hyperlink" Target="../Day23_Defect_Analytics_Tran_Quoc_Nguyen/evidence/live_test_2026-10-07.md" TargetMode="External"/><Relationship Id="rId8" Type="http://schemas.openxmlformats.org/officeDocument/2006/relationships/hyperlink" Target="../Day10_Performance_Baseline_Guide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7"/>
  <sheetViews>
    <sheetView topLeftCell="A13" workbookViewId="0">
      <selection activeCell="K34" sqref="K34"/>
    </sheetView>
  </sheetViews>
  <sheetFormatPr defaultRowHeight="15" x14ac:dyDescent="0.25"/>
  <cols>
    <col min="1" max="1" width="11" customWidth="1"/>
    <col min="2" max="2" width="9" customWidth="1"/>
    <col min="3" max="3" width="18" customWidth="1"/>
    <col min="4" max="4" width="30" customWidth="1"/>
    <col min="5" max="5" width="36" customWidth="1"/>
    <col min="6" max="6" width="18" customWidth="1"/>
    <col min="7" max="7" width="11" customWidth="1"/>
    <col min="8" max="8" width="14" customWidth="1"/>
    <col min="9" max="9" width="9" customWidth="1"/>
    <col min="10" max="10" width="17" customWidth="1"/>
    <col min="11" max="11" width="38" customWidth="1"/>
    <col min="12" max="12" width="28" customWidth="1"/>
    <col min="13" max="13" width="15" customWidth="1"/>
    <col min="14" max="14" width="17" customWidth="1"/>
    <col min="15" max="15" width="18" customWidth="1"/>
    <col min="16" max="19" width="13" customWidth="1"/>
    <col min="20" max="20" width="34" customWidth="1"/>
    <col min="21" max="23" width="11" customWidth="1"/>
    <col min="24" max="24" width="28" customWidth="1"/>
    <col min="25" max="25" width="42" customWidth="1"/>
    <col min="26" max="26" width="38" customWidth="1"/>
  </cols>
  <sheetData>
    <row r="1" spans="1:25" ht="45.9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</row>
    <row r="2" spans="1:25" ht="69.95" customHeight="1" x14ac:dyDescent="0.25">
      <c r="A2" s="11" t="s">
        <v>25</v>
      </c>
      <c r="B2" s="1">
        <v>9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/>
      <c r="R2" s="1" t="s">
        <v>40</v>
      </c>
      <c r="S2" s="1" t="s">
        <v>41</v>
      </c>
      <c r="T2" s="7" t="s">
        <v>42</v>
      </c>
      <c r="U2" s="1" t="s">
        <v>43</v>
      </c>
      <c r="V2" s="1" t="s">
        <v>44</v>
      </c>
      <c r="W2" s="1" t="s">
        <v>44</v>
      </c>
      <c r="X2" s="1" t="s">
        <v>45</v>
      </c>
      <c r="Y2" s="1" t="s">
        <v>46</v>
      </c>
    </row>
    <row r="3" spans="1:25" ht="69.95" customHeight="1" x14ac:dyDescent="0.25">
      <c r="A3" s="11" t="s">
        <v>47</v>
      </c>
      <c r="B3" s="1">
        <v>9</v>
      </c>
      <c r="C3" s="1" t="s">
        <v>38</v>
      </c>
      <c r="D3" s="1" t="s">
        <v>48</v>
      </c>
      <c r="E3" s="1" t="s">
        <v>49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50</v>
      </c>
      <c r="K3" s="1" t="s">
        <v>51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39</v>
      </c>
      <c r="R3" s="1" t="s">
        <v>40</v>
      </c>
      <c r="S3" s="1" t="s">
        <v>41</v>
      </c>
      <c r="T3" s="7" t="s">
        <v>42</v>
      </c>
      <c r="U3" s="1" t="s">
        <v>43</v>
      </c>
      <c r="V3" s="1" t="s">
        <v>44</v>
      </c>
      <c r="W3" s="1" t="s">
        <v>44</v>
      </c>
      <c r="X3" s="1" t="s">
        <v>45</v>
      </c>
      <c r="Y3" s="1" t="s">
        <v>52</v>
      </c>
    </row>
    <row r="4" spans="1:25" ht="69.95" customHeight="1" x14ac:dyDescent="0.25">
      <c r="A4" s="11" t="s">
        <v>53</v>
      </c>
      <c r="B4" s="1">
        <v>9</v>
      </c>
      <c r="C4" s="1" t="s">
        <v>54</v>
      </c>
      <c r="D4" s="1" t="s">
        <v>55</v>
      </c>
      <c r="E4" s="1" t="s">
        <v>56</v>
      </c>
      <c r="F4" s="1" t="s">
        <v>29</v>
      </c>
      <c r="G4" s="1" t="s">
        <v>30</v>
      </c>
      <c r="H4" s="1" t="s">
        <v>57</v>
      </c>
      <c r="I4" s="1" t="s">
        <v>32</v>
      </c>
      <c r="J4" s="1" t="s">
        <v>33</v>
      </c>
      <c r="K4" s="1" t="s">
        <v>58</v>
      </c>
      <c r="L4" s="1" t="s">
        <v>35</v>
      </c>
      <c r="M4" s="1" t="s">
        <v>36</v>
      </c>
      <c r="N4" s="1" t="s">
        <v>59</v>
      </c>
      <c r="O4" s="1" t="s">
        <v>38</v>
      </c>
      <c r="P4" s="1" t="s">
        <v>39</v>
      </c>
      <c r="Q4" s="1"/>
      <c r="R4" s="1" t="s">
        <v>40</v>
      </c>
      <c r="S4" s="1" t="s">
        <v>41</v>
      </c>
      <c r="T4" s="7" t="s">
        <v>42</v>
      </c>
      <c r="U4" s="1" t="s">
        <v>43</v>
      </c>
      <c r="V4" s="1" t="s">
        <v>44</v>
      </c>
      <c r="W4" s="1" t="s">
        <v>44</v>
      </c>
      <c r="X4" s="1" t="s">
        <v>45</v>
      </c>
      <c r="Y4" s="1" t="s">
        <v>60</v>
      </c>
    </row>
    <row r="5" spans="1:25" ht="69.95" customHeight="1" x14ac:dyDescent="0.25">
      <c r="A5" s="11" t="s">
        <v>61</v>
      </c>
      <c r="B5" s="1">
        <v>9</v>
      </c>
      <c r="C5" s="1" t="s">
        <v>62</v>
      </c>
      <c r="D5" s="1" t="s">
        <v>63</v>
      </c>
      <c r="E5" s="1" t="s">
        <v>64</v>
      </c>
      <c r="F5" s="1" t="s">
        <v>29</v>
      </c>
      <c r="G5" s="1" t="s">
        <v>30</v>
      </c>
      <c r="H5" s="1" t="s">
        <v>57</v>
      </c>
      <c r="I5" s="1" t="s">
        <v>32</v>
      </c>
      <c r="J5" s="1" t="s">
        <v>33</v>
      </c>
      <c r="K5" s="1" t="s">
        <v>65</v>
      </c>
      <c r="L5" s="1" t="s">
        <v>35</v>
      </c>
      <c r="M5" s="1" t="s">
        <v>36</v>
      </c>
      <c r="N5" s="1" t="s">
        <v>59</v>
      </c>
      <c r="O5" s="1" t="s">
        <v>38</v>
      </c>
      <c r="P5" s="1" t="s">
        <v>39</v>
      </c>
      <c r="Q5" s="1"/>
      <c r="R5" s="1" t="s">
        <v>40</v>
      </c>
      <c r="S5" s="1" t="s">
        <v>41</v>
      </c>
      <c r="T5" s="7" t="s">
        <v>42</v>
      </c>
      <c r="U5" s="1" t="s">
        <v>43</v>
      </c>
      <c r="V5" s="1" t="s">
        <v>44</v>
      </c>
      <c r="W5" s="1" t="s">
        <v>44</v>
      </c>
      <c r="X5" s="1" t="s">
        <v>45</v>
      </c>
      <c r="Y5" s="1" t="s">
        <v>66</v>
      </c>
    </row>
    <row r="6" spans="1:25" ht="69.95" customHeight="1" x14ac:dyDescent="0.25">
      <c r="A6" s="11" t="s">
        <v>67</v>
      </c>
      <c r="B6" s="1">
        <v>9</v>
      </c>
      <c r="C6" s="1" t="s">
        <v>68</v>
      </c>
      <c r="D6" s="1" t="s">
        <v>69</v>
      </c>
      <c r="E6" s="1" t="s">
        <v>70</v>
      </c>
      <c r="F6" s="1" t="s">
        <v>29</v>
      </c>
      <c r="G6" s="1" t="s">
        <v>30</v>
      </c>
      <c r="H6" s="1" t="s">
        <v>57</v>
      </c>
      <c r="I6" s="1" t="s">
        <v>32</v>
      </c>
      <c r="J6" s="1" t="s">
        <v>33</v>
      </c>
      <c r="K6" s="1" t="s">
        <v>71</v>
      </c>
      <c r="L6" s="1" t="s">
        <v>35</v>
      </c>
      <c r="M6" s="1" t="s">
        <v>36</v>
      </c>
      <c r="N6" s="1" t="s">
        <v>72</v>
      </c>
      <c r="O6" s="1" t="s">
        <v>38</v>
      </c>
      <c r="P6" s="1" t="s">
        <v>39</v>
      </c>
      <c r="Q6" s="1"/>
      <c r="R6" s="1" t="s">
        <v>40</v>
      </c>
      <c r="S6" s="1" t="s">
        <v>41</v>
      </c>
      <c r="T6" s="7" t="s">
        <v>42</v>
      </c>
      <c r="U6" s="1" t="s">
        <v>43</v>
      </c>
      <c r="V6" s="1" t="s">
        <v>44</v>
      </c>
      <c r="W6" s="1" t="s">
        <v>44</v>
      </c>
      <c r="X6" s="1" t="s">
        <v>45</v>
      </c>
      <c r="Y6" s="1" t="s">
        <v>73</v>
      </c>
    </row>
    <row r="7" spans="1:25" ht="69.95" customHeight="1" x14ac:dyDescent="0.25">
      <c r="A7" s="11" t="s">
        <v>74</v>
      </c>
      <c r="B7" s="1">
        <v>9</v>
      </c>
      <c r="C7" s="1" t="s">
        <v>75</v>
      </c>
      <c r="D7" s="1" t="s">
        <v>76</v>
      </c>
      <c r="E7" s="1" t="s">
        <v>77</v>
      </c>
      <c r="F7" s="1" t="s">
        <v>29</v>
      </c>
      <c r="G7" s="1" t="s">
        <v>30</v>
      </c>
      <c r="H7" s="1" t="s">
        <v>57</v>
      </c>
      <c r="I7" s="1" t="s">
        <v>32</v>
      </c>
      <c r="J7" s="1" t="s">
        <v>50</v>
      </c>
      <c r="K7" s="1" t="s">
        <v>78</v>
      </c>
      <c r="L7" s="1" t="s">
        <v>35</v>
      </c>
      <c r="M7" s="1" t="s">
        <v>36</v>
      </c>
      <c r="N7" s="1" t="s">
        <v>79</v>
      </c>
      <c r="O7" s="1" t="s">
        <v>38</v>
      </c>
      <c r="P7" s="1" t="s">
        <v>39</v>
      </c>
      <c r="Q7" s="1" t="s">
        <v>39</v>
      </c>
      <c r="R7" s="1" t="s">
        <v>40</v>
      </c>
      <c r="S7" s="1" t="s">
        <v>41</v>
      </c>
      <c r="T7" s="7" t="s">
        <v>42</v>
      </c>
      <c r="U7" s="1" t="s">
        <v>43</v>
      </c>
      <c r="V7" s="1" t="s">
        <v>44</v>
      </c>
      <c r="W7" s="1" t="s">
        <v>44</v>
      </c>
      <c r="X7" s="1" t="s">
        <v>45</v>
      </c>
      <c r="Y7" s="1" t="s">
        <v>80</v>
      </c>
    </row>
    <row r="8" spans="1:25" ht="69.95" customHeight="1" x14ac:dyDescent="0.25">
      <c r="A8" s="11" t="s">
        <v>81</v>
      </c>
      <c r="B8" s="1">
        <v>9</v>
      </c>
      <c r="C8" s="1" t="s">
        <v>68</v>
      </c>
      <c r="D8" s="1" t="s">
        <v>82</v>
      </c>
      <c r="E8" s="1" t="s">
        <v>83</v>
      </c>
      <c r="F8" s="1" t="s">
        <v>29</v>
      </c>
      <c r="G8" s="1" t="s">
        <v>30</v>
      </c>
      <c r="H8" s="1" t="s">
        <v>57</v>
      </c>
      <c r="I8" s="1" t="s">
        <v>32</v>
      </c>
      <c r="J8" s="1" t="s">
        <v>33</v>
      </c>
      <c r="K8" s="1" t="s">
        <v>84</v>
      </c>
      <c r="L8" s="1" t="s">
        <v>35</v>
      </c>
      <c r="M8" s="1" t="s">
        <v>36</v>
      </c>
      <c r="N8" s="1" t="s">
        <v>79</v>
      </c>
      <c r="O8" s="1" t="s">
        <v>38</v>
      </c>
      <c r="P8" s="1" t="s">
        <v>39</v>
      </c>
      <c r="Q8" s="1"/>
      <c r="R8" s="1" t="s">
        <v>40</v>
      </c>
      <c r="S8" s="1" t="s">
        <v>41</v>
      </c>
      <c r="T8" s="7" t="s">
        <v>42</v>
      </c>
      <c r="U8" s="1" t="s">
        <v>43</v>
      </c>
      <c r="V8" s="1" t="s">
        <v>44</v>
      </c>
      <c r="W8" s="1" t="s">
        <v>44</v>
      </c>
      <c r="X8" s="1" t="s">
        <v>45</v>
      </c>
      <c r="Y8" s="1" t="s">
        <v>85</v>
      </c>
    </row>
    <row r="9" spans="1:25" ht="69.95" customHeight="1" x14ac:dyDescent="0.25">
      <c r="A9" s="11" t="s">
        <v>86</v>
      </c>
      <c r="B9" s="1">
        <v>10</v>
      </c>
      <c r="C9" s="1" t="s">
        <v>87</v>
      </c>
      <c r="D9" s="1" t="s">
        <v>88</v>
      </c>
      <c r="E9" s="1" t="s">
        <v>89</v>
      </c>
      <c r="F9" s="1" t="s">
        <v>90</v>
      </c>
      <c r="G9" s="1" t="s">
        <v>91</v>
      </c>
      <c r="H9" s="1" t="s">
        <v>31</v>
      </c>
      <c r="I9" s="1" t="s">
        <v>92</v>
      </c>
      <c r="J9" s="1" t="s">
        <v>33</v>
      </c>
      <c r="K9" s="1" t="s">
        <v>93</v>
      </c>
      <c r="L9" s="1" t="s">
        <v>94</v>
      </c>
      <c r="M9" s="1" t="s">
        <v>95</v>
      </c>
      <c r="N9" s="1" t="s">
        <v>96</v>
      </c>
      <c r="O9" s="1" t="s">
        <v>97</v>
      </c>
      <c r="P9" s="1" t="s">
        <v>39</v>
      </c>
      <c r="Q9" s="1"/>
      <c r="R9" s="1" t="s">
        <v>40</v>
      </c>
      <c r="S9" s="1" t="s">
        <v>41</v>
      </c>
      <c r="T9" s="7" t="s">
        <v>98</v>
      </c>
      <c r="U9" s="1" t="s">
        <v>90</v>
      </c>
      <c r="V9" s="1" t="s">
        <v>44</v>
      </c>
      <c r="W9" s="1" t="s">
        <v>44</v>
      </c>
      <c r="X9" s="1" t="s">
        <v>99</v>
      </c>
      <c r="Y9" s="1" t="s">
        <v>100</v>
      </c>
    </row>
    <row r="10" spans="1:25" ht="69.95" customHeight="1" x14ac:dyDescent="0.25">
      <c r="A10" s="11" t="s">
        <v>101</v>
      </c>
      <c r="B10" s="1">
        <v>11</v>
      </c>
      <c r="C10" s="1" t="s">
        <v>102</v>
      </c>
      <c r="D10" s="1" t="s">
        <v>103</v>
      </c>
      <c r="E10" s="1" t="s">
        <v>104</v>
      </c>
      <c r="F10" s="1" t="s">
        <v>105</v>
      </c>
      <c r="G10" s="1" t="s">
        <v>30</v>
      </c>
      <c r="H10" s="1" t="s">
        <v>31</v>
      </c>
      <c r="I10" s="1" t="s">
        <v>32</v>
      </c>
      <c r="J10" s="1" t="s">
        <v>33</v>
      </c>
      <c r="K10" s="1" t="s">
        <v>106</v>
      </c>
      <c r="L10" s="1" t="s">
        <v>107</v>
      </c>
      <c r="M10" s="1" t="s">
        <v>95</v>
      </c>
      <c r="N10" s="1" t="s">
        <v>108</v>
      </c>
      <c r="O10" s="1" t="s">
        <v>109</v>
      </c>
      <c r="P10" s="1" t="s">
        <v>110</v>
      </c>
      <c r="Q10" s="1"/>
      <c r="R10" s="1" t="s">
        <v>40</v>
      </c>
      <c r="S10" s="1" t="s">
        <v>41</v>
      </c>
      <c r="T10" s="7" t="s">
        <v>111</v>
      </c>
      <c r="U10" s="1" t="s">
        <v>43</v>
      </c>
      <c r="V10" s="1" t="s">
        <v>44</v>
      </c>
      <c r="W10" s="1" t="s">
        <v>44</v>
      </c>
      <c r="X10" s="1" t="s">
        <v>112</v>
      </c>
      <c r="Y10" s="1" t="s">
        <v>113</v>
      </c>
    </row>
    <row r="11" spans="1:25" ht="69.95" customHeight="1" x14ac:dyDescent="0.25">
      <c r="A11" s="11" t="s">
        <v>114</v>
      </c>
      <c r="B11" s="1">
        <v>12</v>
      </c>
      <c r="C11" s="1" t="s">
        <v>115</v>
      </c>
      <c r="D11" s="1" t="s">
        <v>116</v>
      </c>
      <c r="E11" s="1" t="s">
        <v>117</v>
      </c>
      <c r="F11" s="1" t="s">
        <v>118</v>
      </c>
      <c r="G11" s="1" t="s">
        <v>30</v>
      </c>
      <c r="H11" s="1" t="s">
        <v>31</v>
      </c>
      <c r="I11" s="1" t="s">
        <v>32</v>
      </c>
      <c r="J11" s="1" t="s">
        <v>33</v>
      </c>
      <c r="K11" s="1" t="s">
        <v>119</v>
      </c>
      <c r="L11" s="1" t="s">
        <v>107</v>
      </c>
      <c r="M11" s="1" t="s">
        <v>95</v>
      </c>
      <c r="N11" s="1" t="s">
        <v>120</v>
      </c>
      <c r="O11" s="1" t="s">
        <v>109</v>
      </c>
      <c r="P11" s="1" t="s">
        <v>121</v>
      </c>
      <c r="Q11" s="1"/>
      <c r="R11" s="1" t="s">
        <v>40</v>
      </c>
      <c r="S11" s="1" t="s">
        <v>41</v>
      </c>
      <c r="T11" s="7" t="s">
        <v>122</v>
      </c>
      <c r="U11" s="1" t="s">
        <v>43</v>
      </c>
      <c r="V11" s="1" t="s">
        <v>44</v>
      </c>
      <c r="W11" s="1" t="s">
        <v>44</v>
      </c>
      <c r="X11" s="1" t="s">
        <v>112</v>
      </c>
      <c r="Y11" s="1" t="s">
        <v>123</v>
      </c>
    </row>
    <row r="12" spans="1:25" ht="69.95" customHeight="1" x14ac:dyDescent="0.25">
      <c r="A12" s="11" t="s">
        <v>124</v>
      </c>
      <c r="B12" s="1">
        <v>12</v>
      </c>
      <c r="C12" s="1" t="s">
        <v>115</v>
      </c>
      <c r="D12" s="1" t="s">
        <v>125</v>
      </c>
      <c r="E12" s="1" t="s">
        <v>126</v>
      </c>
      <c r="F12" s="1" t="s">
        <v>118</v>
      </c>
      <c r="G12" s="1" t="s">
        <v>91</v>
      </c>
      <c r="H12" s="1" t="s">
        <v>31</v>
      </c>
      <c r="I12" s="1" t="s">
        <v>92</v>
      </c>
      <c r="J12" s="1" t="s">
        <v>33</v>
      </c>
      <c r="K12" s="1" t="s">
        <v>127</v>
      </c>
      <c r="L12" s="1" t="s">
        <v>107</v>
      </c>
      <c r="M12" s="1" t="s">
        <v>95</v>
      </c>
      <c r="N12" s="1" t="s">
        <v>120</v>
      </c>
      <c r="O12" s="1" t="s">
        <v>109</v>
      </c>
      <c r="P12" s="1" t="s">
        <v>121</v>
      </c>
      <c r="Q12" s="1"/>
      <c r="R12" s="1" t="s">
        <v>40</v>
      </c>
      <c r="S12" s="1" t="s">
        <v>41</v>
      </c>
      <c r="T12" s="7" t="s">
        <v>122</v>
      </c>
      <c r="U12" s="1" t="s">
        <v>43</v>
      </c>
      <c r="V12" s="1" t="s">
        <v>44</v>
      </c>
      <c r="W12" s="1" t="s">
        <v>44</v>
      </c>
      <c r="X12" s="1" t="s">
        <v>112</v>
      </c>
      <c r="Y12" s="1" t="s">
        <v>128</v>
      </c>
    </row>
    <row r="13" spans="1:25" ht="69.95" customHeight="1" x14ac:dyDescent="0.25">
      <c r="A13" s="11" t="s">
        <v>129</v>
      </c>
      <c r="B13" s="1">
        <v>13</v>
      </c>
      <c r="C13" s="1" t="s">
        <v>130</v>
      </c>
      <c r="D13" s="1" t="s">
        <v>131</v>
      </c>
      <c r="E13" s="1" t="s">
        <v>132</v>
      </c>
      <c r="F13" s="1" t="s">
        <v>133</v>
      </c>
      <c r="G13" s="1" t="s">
        <v>134</v>
      </c>
      <c r="H13" s="1" t="s">
        <v>57</v>
      </c>
      <c r="I13" s="1" t="s">
        <v>135</v>
      </c>
      <c r="J13" s="1" t="s">
        <v>33</v>
      </c>
      <c r="K13" s="1" t="s">
        <v>136</v>
      </c>
      <c r="L13" s="1" t="s">
        <v>107</v>
      </c>
      <c r="M13" s="1" t="s">
        <v>95</v>
      </c>
      <c r="N13" s="1" t="s">
        <v>137</v>
      </c>
      <c r="O13" s="1" t="s">
        <v>109</v>
      </c>
      <c r="P13" s="1" t="s">
        <v>138</v>
      </c>
      <c r="Q13" s="1"/>
      <c r="R13" s="1"/>
      <c r="S13" s="1" t="s">
        <v>41</v>
      </c>
      <c r="T13" s="7" t="s">
        <v>139</v>
      </c>
      <c r="U13" s="1" t="s">
        <v>43</v>
      </c>
      <c r="V13" s="1" t="s">
        <v>44</v>
      </c>
      <c r="W13" s="1" t="s">
        <v>44</v>
      </c>
      <c r="X13" s="1" t="s">
        <v>140</v>
      </c>
      <c r="Y13" s="1" t="s">
        <v>141</v>
      </c>
    </row>
    <row r="14" spans="1:25" ht="69.95" customHeight="1" x14ac:dyDescent="0.25">
      <c r="A14" s="11" t="s">
        <v>142</v>
      </c>
      <c r="B14" s="1">
        <v>13</v>
      </c>
      <c r="C14" s="1" t="s">
        <v>130</v>
      </c>
      <c r="D14" s="1" t="s">
        <v>143</v>
      </c>
      <c r="E14" s="1" t="s">
        <v>144</v>
      </c>
      <c r="F14" s="1" t="s">
        <v>133</v>
      </c>
      <c r="G14" s="1" t="s">
        <v>30</v>
      </c>
      <c r="H14" s="1" t="s">
        <v>57</v>
      </c>
      <c r="I14" s="1" t="s">
        <v>32</v>
      </c>
      <c r="J14" s="1" t="s">
        <v>33</v>
      </c>
      <c r="K14" s="1" t="s">
        <v>145</v>
      </c>
      <c r="L14" s="1" t="s">
        <v>107</v>
      </c>
      <c r="M14" s="1" t="s">
        <v>95</v>
      </c>
      <c r="N14" s="1" t="s">
        <v>146</v>
      </c>
      <c r="O14" s="1" t="s">
        <v>109</v>
      </c>
      <c r="P14" s="1" t="s">
        <v>138</v>
      </c>
      <c r="Q14" s="1"/>
      <c r="R14" s="1" t="s">
        <v>40</v>
      </c>
      <c r="S14" s="1" t="s">
        <v>41</v>
      </c>
      <c r="T14" s="7" t="s">
        <v>139</v>
      </c>
      <c r="U14" s="1" t="s">
        <v>43</v>
      </c>
      <c r="V14" s="1" t="s">
        <v>44</v>
      </c>
      <c r="W14" s="1" t="s">
        <v>44</v>
      </c>
      <c r="X14" s="1" t="s">
        <v>140</v>
      </c>
      <c r="Y14" s="1" t="s">
        <v>147</v>
      </c>
    </row>
    <row r="15" spans="1:25" ht="69.95" customHeight="1" x14ac:dyDescent="0.25">
      <c r="A15" s="11" t="s">
        <v>148</v>
      </c>
      <c r="B15" s="1">
        <v>13</v>
      </c>
      <c r="C15" s="1" t="s">
        <v>130</v>
      </c>
      <c r="D15" s="1" t="s">
        <v>149</v>
      </c>
      <c r="E15" s="1" t="s">
        <v>150</v>
      </c>
      <c r="F15" s="1" t="s">
        <v>133</v>
      </c>
      <c r="G15" s="1" t="s">
        <v>91</v>
      </c>
      <c r="H15" s="1" t="s">
        <v>57</v>
      </c>
      <c r="I15" s="1" t="s">
        <v>92</v>
      </c>
      <c r="J15" s="1" t="s">
        <v>33</v>
      </c>
      <c r="K15" s="1" t="s">
        <v>151</v>
      </c>
      <c r="L15" s="1" t="s">
        <v>107</v>
      </c>
      <c r="M15" s="1" t="s">
        <v>95</v>
      </c>
      <c r="N15" s="1" t="s">
        <v>146</v>
      </c>
      <c r="O15" s="1" t="s">
        <v>109</v>
      </c>
      <c r="P15" s="1" t="s">
        <v>138</v>
      </c>
      <c r="Q15" s="1"/>
      <c r="R15" s="1" t="s">
        <v>40</v>
      </c>
      <c r="S15" s="1" t="s">
        <v>41</v>
      </c>
      <c r="T15" s="7" t="s">
        <v>139</v>
      </c>
      <c r="U15" s="1" t="s">
        <v>43</v>
      </c>
      <c r="V15" s="1" t="s">
        <v>44</v>
      </c>
      <c r="W15" s="1" t="s">
        <v>44</v>
      </c>
      <c r="X15" s="1" t="s">
        <v>140</v>
      </c>
      <c r="Y15" s="1" t="s">
        <v>152</v>
      </c>
    </row>
    <row r="16" spans="1:25" ht="69.95" customHeight="1" x14ac:dyDescent="0.25">
      <c r="A16" s="11" t="s">
        <v>153</v>
      </c>
      <c r="B16" s="1">
        <v>13</v>
      </c>
      <c r="C16" s="1" t="s">
        <v>154</v>
      </c>
      <c r="D16" s="1" t="s">
        <v>155</v>
      </c>
      <c r="E16" s="1" t="s">
        <v>156</v>
      </c>
      <c r="F16" s="1" t="s">
        <v>157</v>
      </c>
      <c r="G16" s="1" t="s">
        <v>134</v>
      </c>
      <c r="H16" s="1" t="s">
        <v>57</v>
      </c>
      <c r="I16" s="1" t="s">
        <v>135</v>
      </c>
      <c r="J16" s="1" t="s">
        <v>158</v>
      </c>
      <c r="K16" s="1" t="s">
        <v>159</v>
      </c>
      <c r="L16" s="1" t="s">
        <v>160</v>
      </c>
      <c r="M16" s="1" t="s">
        <v>95</v>
      </c>
      <c r="N16" s="1" t="s">
        <v>161</v>
      </c>
      <c r="O16" s="1" t="s">
        <v>109</v>
      </c>
      <c r="P16" s="1" t="s">
        <v>138</v>
      </c>
      <c r="Q16" s="1"/>
      <c r="R16" s="1"/>
      <c r="S16" s="1" t="s">
        <v>41</v>
      </c>
      <c r="T16" s="7" t="s">
        <v>139</v>
      </c>
      <c r="U16" s="1" t="s">
        <v>43</v>
      </c>
      <c r="V16" s="1" t="s">
        <v>44</v>
      </c>
      <c r="W16" s="1" t="s">
        <v>44</v>
      </c>
      <c r="X16" s="1" t="s">
        <v>162</v>
      </c>
      <c r="Y16" s="1" t="s">
        <v>163</v>
      </c>
    </row>
    <row r="17" spans="1:25" ht="69.95" customHeight="1" x14ac:dyDescent="0.25">
      <c r="A17" s="11" t="s">
        <v>164</v>
      </c>
      <c r="B17" s="1">
        <v>13</v>
      </c>
      <c r="C17" s="1" t="s">
        <v>154</v>
      </c>
      <c r="D17" s="1" t="s">
        <v>165</v>
      </c>
      <c r="E17" s="1" t="s">
        <v>166</v>
      </c>
      <c r="F17" s="1" t="s">
        <v>167</v>
      </c>
      <c r="G17" s="1" t="s">
        <v>30</v>
      </c>
      <c r="H17" s="1" t="s">
        <v>57</v>
      </c>
      <c r="I17" s="1" t="s">
        <v>32</v>
      </c>
      <c r="J17" s="1" t="s">
        <v>33</v>
      </c>
      <c r="K17" s="1" t="s">
        <v>168</v>
      </c>
      <c r="L17" s="1" t="s">
        <v>169</v>
      </c>
      <c r="M17" s="1" t="s">
        <v>95</v>
      </c>
      <c r="N17" s="1" t="s">
        <v>146</v>
      </c>
      <c r="O17" s="1" t="s">
        <v>109</v>
      </c>
      <c r="P17" s="1" t="s">
        <v>138</v>
      </c>
      <c r="Q17" s="1"/>
      <c r="R17" s="1" t="s">
        <v>40</v>
      </c>
      <c r="S17" s="1" t="s">
        <v>41</v>
      </c>
      <c r="T17" s="7" t="s">
        <v>139</v>
      </c>
      <c r="U17" s="1" t="s">
        <v>43</v>
      </c>
      <c r="V17" s="1" t="s">
        <v>44</v>
      </c>
      <c r="W17" s="1" t="s">
        <v>44</v>
      </c>
      <c r="X17" s="1" t="s">
        <v>140</v>
      </c>
      <c r="Y17" s="1" t="s">
        <v>170</v>
      </c>
    </row>
    <row r="18" spans="1:25" ht="69.95" customHeight="1" x14ac:dyDescent="0.25">
      <c r="A18" s="11" t="s">
        <v>171</v>
      </c>
      <c r="B18" s="1">
        <v>13</v>
      </c>
      <c r="C18" s="1" t="s">
        <v>154</v>
      </c>
      <c r="D18" s="1" t="s">
        <v>172</v>
      </c>
      <c r="E18" s="1" t="s">
        <v>173</v>
      </c>
      <c r="F18" s="1" t="s">
        <v>167</v>
      </c>
      <c r="G18" s="1" t="s">
        <v>91</v>
      </c>
      <c r="H18" s="1" t="s">
        <v>57</v>
      </c>
      <c r="I18" s="1" t="s">
        <v>92</v>
      </c>
      <c r="J18" s="1" t="s">
        <v>158</v>
      </c>
      <c r="K18" s="1" t="s">
        <v>174</v>
      </c>
      <c r="L18" s="1" t="s">
        <v>169</v>
      </c>
      <c r="M18" s="1" t="s">
        <v>95</v>
      </c>
      <c r="N18" s="1" t="s">
        <v>175</v>
      </c>
      <c r="O18" s="1" t="s">
        <v>109</v>
      </c>
      <c r="P18" s="1" t="s">
        <v>138</v>
      </c>
      <c r="Q18" s="1"/>
      <c r="R18" s="1" t="s">
        <v>40</v>
      </c>
      <c r="S18" s="1" t="s">
        <v>41</v>
      </c>
      <c r="T18" s="7" t="s">
        <v>139</v>
      </c>
      <c r="U18" s="1" t="s">
        <v>43</v>
      </c>
      <c r="V18" s="1" t="s">
        <v>44</v>
      </c>
      <c r="W18" s="1" t="s">
        <v>44</v>
      </c>
      <c r="X18" s="1" t="s">
        <v>140</v>
      </c>
      <c r="Y18" s="1" t="s">
        <v>176</v>
      </c>
    </row>
    <row r="19" spans="1:25" ht="69.95" customHeight="1" x14ac:dyDescent="0.25">
      <c r="A19" s="11" t="s">
        <v>177</v>
      </c>
      <c r="B19" s="1">
        <v>13</v>
      </c>
      <c r="C19" s="1" t="s">
        <v>178</v>
      </c>
      <c r="D19" s="1" t="s">
        <v>179</v>
      </c>
      <c r="E19" s="1" t="s">
        <v>180</v>
      </c>
      <c r="F19" s="1" t="s">
        <v>157</v>
      </c>
      <c r="G19" s="1" t="s">
        <v>134</v>
      </c>
      <c r="H19" s="1" t="s">
        <v>57</v>
      </c>
      <c r="I19" s="1" t="s">
        <v>135</v>
      </c>
      <c r="J19" s="1" t="s">
        <v>50</v>
      </c>
      <c r="K19" s="1" t="s">
        <v>181</v>
      </c>
      <c r="L19" s="1" t="s">
        <v>160</v>
      </c>
      <c r="M19" s="1" t="s">
        <v>95</v>
      </c>
      <c r="N19" s="1" t="s">
        <v>182</v>
      </c>
      <c r="O19" s="1" t="s">
        <v>109</v>
      </c>
      <c r="P19" s="1" t="s">
        <v>138</v>
      </c>
      <c r="Q19" s="1" t="s">
        <v>39</v>
      </c>
      <c r="R19" s="1" t="s">
        <v>40</v>
      </c>
      <c r="S19" s="1" t="s">
        <v>41</v>
      </c>
      <c r="T19" s="7" t="s">
        <v>139</v>
      </c>
      <c r="U19" s="1" t="s">
        <v>43</v>
      </c>
      <c r="V19" s="1" t="s">
        <v>44</v>
      </c>
      <c r="W19" s="1" t="s">
        <v>44</v>
      </c>
      <c r="X19" s="1" t="s">
        <v>162</v>
      </c>
      <c r="Y19" s="1" t="s">
        <v>183</v>
      </c>
    </row>
    <row r="20" spans="1:25" ht="69.95" customHeight="1" x14ac:dyDescent="0.25">
      <c r="A20" s="11" t="s">
        <v>184</v>
      </c>
      <c r="B20" s="1">
        <v>14</v>
      </c>
      <c r="C20" s="1" t="s">
        <v>185</v>
      </c>
      <c r="D20" s="1" t="s">
        <v>186</v>
      </c>
      <c r="E20" s="1" t="s">
        <v>187</v>
      </c>
      <c r="F20" s="1" t="s">
        <v>188</v>
      </c>
      <c r="G20" s="1" t="s">
        <v>134</v>
      </c>
      <c r="H20" s="1" t="s">
        <v>57</v>
      </c>
      <c r="I20" s="1" t="s">
        <v>135</v>
      </c>
      <c r="J20" s="1" t="s">
        <v>33</v>
      </c>
      <c r="K20" s="1" t="s">
        <v>189</v>
      </c>
      <c r="L20" s="1" t="s">
        <v>190</v>
      </c>
      <c r="M20" s="1" t="s">
        <v>36</v>
      </c>
      <c r="N20" s="1" t="s">
        <v>191</v>
      </c>
      <c r="O20" s="1" t="s">
        <v>192</v>
      </c>
      <c r="P20" s="1" t="s">
        <v>193</v>
      </c>
      <c r="Q20" s="1"/>
      <c r="R20" s="1"/>
      <c r="S20" s="1" t="s">
        <v>41</v>
      </c>
      <c r="T20" s="7" t="s">
        <v>194</v>
      </c>
      <c r="U20" s="1" t="s">
        <v>195</v>
      </c>
      <c r="V20" s="1" t="s">
        <v>44</v>
      </c>
      <c r="W20" s="1" t="s">
        <v>44</v>
      </c>
      <c r="X20" s="1"/>
      <c r="Y20" s="1" t="s">
        <v>196</v>
      </c>
    </row>
    <row r="21" spans="1:25" ht="69.95" customHeight="1" x14ac:dyDescent="0.25">
      <c r="A21" s="11" t="s">
        <v>197</v>
      </c>
      <c r="B21" s="1">
        <v>18</v>
      </c>
      <c r="C21" s="1" t="s">
        <v>198</v>
      </c>
      <c r="D21" s="1" t="s">
        <v>199</v>
      </c>
      <c r="E21" s="1" t="s">
        <v>200</v>
      </c>
      <c r="F21" s="1" t="s">
        <v>201</v>
      </c>
      <c r="G21" s="1" t="s">
        <v>91</v>
      </c>
      <c r="H21" s="1" t="s">
        <v>31</v>
      </c>
      <c r="I21" s="1" t="s">
        <v>92</v>
      </c>
      <c r="J21" s="1" t="s">
        <v>158</v>
      </c>
      <c r="K21" s="1" t="s">
        <v>202</v>
      </c>
      <c r="L21" s="1" t="s">
        <v>169</v>
      </c>
      <c r="M21" s="1" t="s">
        <v>95</v>
      </c>
      <c r="N21" s="1" t="s">
        <v>203</v>
      </c>
      <c r="O21" s="1" t="s">
        <v>204</v>
      </c>
      <c r="P21" s="1" t="s">
        <v>205</v>
      </c>
      <c r="Q21" s="1"/>
      <c r="R21" s="1"/>
      <c r="S21" s="1" t="s">
        <v>41</v>
      </c>
      <c r="T21" s="7" t="s">
        <v>206</v>
      </c>
      <c r="U21" s="1" t="s">
        <v>43</v>
      </c>
      <c r="V21" s="1" t="s">
        <v>44</v>
      </c>
      <c r="W21" s="1" t="s">
        <v>207</v>
      </c>
      <c r="X21" s="1" t="s">
        <v>208</v>
      </c>
      <c r="Y21" s="1" t="s">
        <v>209</v>
      </c>
    </row>
    <row r="22" spans="1:25" ht="69.95" customHeight="1" x14ac:dyDescent="0.25">
      <c r="A22" s="11" t="s">
        <v>210</v>
      </c>
      <c r="B22" s="1">
        <v>19</v>
      </c>
      <c r="C22" s="1" t="s">
        <v>211</v>
      </c>
      <c r="D22" s="1" t="s">
        <v>212</v>
      </c>
      <c r="E22" s="1" t="s">
        <v>213</v>
      </c>
      <c r="F22" s="1" t="s">
        <v>157</v>
      </c>
      <c r="G22" s="1" t="s">
        <v>134</v>
      </c>
      <c r="H22" s="1" t="s">
        <v>57</v>
      </c>
      <c r="I22" s="1" t="s">
        <v>135</v>
      </c>
      <c r="J22" s="1" t="s">
        <v>33</v>
      </c>
      <c r="K22" s="1" t="s">
        <v>214</v>
      </c>
      <c r="L22" s="1" t="s">
        <v>215</v>
      </c>
      <c r="M22" s="1" t="s">
        <v>36</v>
      </c>
      <c r="N22" s="1" t="s">
        <v>216</v>
      </c>
      <c r="O22" s="1" t="s">
        <v>109</v>
      </c>
      <c r="P22" s="1" t="s">
        <v>217</v>
      </c>
      <c r="Q22" s="1"/>
      <c r="R22" s="1" t="s">
        <v>40</v>
      </c>
      <c r="S22" s="1" t="s">
        <v>41</v>
      </c>
      <c r="T22" s="7" t="s">
        <v>218</v>
      </c>
      <c r="U22" s="1" t="s">
        <v>43</v>
      </c>
      <c r="V22" s="1" t="s">
        <v>44</v>
      </c>
      <c r="W22" s="1" t="s">
        <v>44</v>
      </c>
      <c r="X22" s="1" t="s">
        <v>219</v>
      </c>
      <c r="Y22" s="1" t="s">
        <v>220</v>
      </c>
    </row>
    <row r="23" spans="1:25" ht="69.95" customHeight="1" x14ac:dyDescent="0.25">
      <c r="A23" s="11" t="s">
        <v>221</v>
      </c>
      <c r="B23" s="1">
        <v>19</v>
      </c>
      <c r="C23" s="1" t="s">
        <v>222</v>
      </c>
      <c r="D23" s="1" t="s">
        <v>223</v>
      </c>
      <c r="E23" s="1" t="s">
        <v>224</v>
      </c>
      <c r="F23" s="1" t="s">
        <v>157</v>
      </c>
      <c r="G23" s="1" t="s">
        <v>134</v>
      </c>
      <c r="H23" s="1" t="s">
        <v>57</v>
      </c>
      <c r="I23" s="1" t="s">
        <v>135</v>
      </c>
      <c r="J23" s="1" t="s">
        <v>50</v>
      </c>
      <c r="K23" s="1" t="s">
        <v>225</v>
      </c>
      <c r="L23" s="1" t="s">
        <v>160</v>
      </c>
      <c r="M23" s="1" t="s">
        <v>36</v>
      </c>
      <c r="N23" s="1" t="s">
        <v>216</v>
      </c>
      <c r="O23" s="1" t="s">
        <v>109</v>
      </c>
      <c r="P23" s="1" t="s">
        <v>217</v>
      </c>
      <c r="Q23" s="1" t="s">
        <v>39</v>
      </c>
      <c r="R23" s="1" t="s">
        <v>40</v>
      </c>
      <c r="S23" s="1" t="s">
        <v>41</v>
      </c>
      <c r="T23" s="7" t="s">
        <v>218</v>
      </c>
      <c r="U23" s="1" t="s">
        <v>43</v>
      </c>
      <c r="V23" s="1" t="s">
        <v>44</v>
      </c>
      <c r="W23" s="1" t="s">
        <v>44</v>
      </c>
      <c r="X23" s="1" t="s">
        <v>162</v>
      </c>
      <c r="Y23" s="1" t="s">
        <v>226</v>
      </c>
    </row>
    <row r="24" spans="1:25" ht="69.95" customHeight="1" x14ac:dyDescent="0.25">
      <c r="A24" s="11" t="s">
        <v>227</v>
      </c>
      <c r="B24" s="1">
        <v>19</v>
      </c>
      <c r="C24" s="1" t="s">
        <v>211</v>
      </c>
      <c r="D24" s="1" t="s">
        <v>228</v>
      </c>
      <c r="E24" s="1" t="s">
        <v>229</v>
      </c>
      <c r="F24" s="1" t="s">
        <v>157</v>
      </c>
      <c r="G24" s="1" t="s">
        <v>134</v>
      </c>
      <c r="H24" s="1" t="s">
        <v>57</v>
      </c>
      <c r="I24" s="1" t="s">
        <v>135</v>
      </c>
      <c r="J24" s="1" t="s">
        <v>33</v>
      </c>
      <c r="K24" s="1" t="s">
        <v>230</v>
      </c>
      <c r="L24" s="1" t="s">
        <v>160</v>
      </c>
      <c r="M24" s="1" t="s">
        <v>36</v>
      </c>
      <c r="N24" s="1" t="s">
        <v>216</v>
      </c>
      <c r="O24" s="1" t="s">
        <v>109</v>
      </c>
      <c r="P24" s="1" t="s">
        <v>217</v>
      </c>
      <c r="Q24" s="1"/>
      <c r="R24" s="1"/>
      <c r="S24" s="1" t="s">
        <v>41</v>
      </c>
      <c r="T24" s="7" t="s">
        <v>218</v>
      </c>
      <c r="U24" s="1" t="s">
        <v>43</v>
      </c>
      <c r="V24" s="1" t="s">
        <v>44</v>
      </c>
      <c r="W24" s="1" t="s">
        <v>44</v>
      </c>
      <c r="X24" s="1" t="s">
        <v>162</v>
      </c>
      <c r="Y24" s="1" t="s">
        <v>231</v>
      </c>
    </row>
    <row r="25" spans="1:25" ht="69.95" customHeight="1" x14ac:dyDescent="0.25">
      <c r="A25" s="11" t="s">
        <v>232</v>
      </c>
      <c r="B25" s="1">
        <v>20</v>
      </c>
      <c r="C25" s="1" t="s">
        <v>233</v>
      </c>
      <c r="D25" s="1" t="s">
        <v>234</v>
      </c>
      <c r="E25" s="1" t="s">
        <v>235</v>
      </c>
      <c r="F25" s="1" t="s">
        <v>236</v>
      </c>
      <c r="G25" s="1" t="s">
        <v>30</v>
      </c>
      <c r="H25" s="1" t="s">
        <v>31</v>
      </c>
      <c r="I25" s="1" t="s">
        <v>32</v>
      </c>
      <c r="J25" s="1" t="s">
        <v>50</v>
      </c>
      <c r="K25" s="1" t="s">
        <v>237</v>
      </c>
      <c r="L25" s="1" t="s">
        <v>238</v>
      </c>
      <c r="M25" s="1" t="s">
        <v>95</v>
      </c>
      <c r="N25" s="1" t="s">
        <v>239</v>
      </c>
      <c r="O25" s="1" t="s">
        <v>97</v>
      </c>
      <c r="P25" s="1" t="s">
        <v>217</v>
      </c>
      <c r="Q25" s="1" t="s">
        <v>39</v>
      </c>
      <c r="R25" s="1"/>
      <c r="S25" s="1" t="s">
        <v>41</v>
      </c>
      <c r="T25" s="7" t="s">
        <v>240</v>
      </c>
      <c r="U25" s="1" t="s">
        <v>241</v>
      </c>
      <c r="V25" s="1" t="s">
        <v>44</v>
      </c>
      <c r="W25" s="1" t="s">
        <v>44</v>
      </c>
      <c r="X25" s="1" t="s">
        <v>242</v>
      </c>
      <c r="Y25" s="1" t="s">
        <v>243</v>
      </c>
    </row>
    <row r="26" spans="1:25" ht="69.95" customHeight="1" x14ac:dyDescent="0.25">
      <c r="A26" s="11" t="s">
        <v>244</v>
      </c>
      <c r="B26" s="1">
        <v>22</v>
      </c>
      <c r="C26" s="1" t="s">
        <v>87</v>
      </c>
      <c r="D26" s="1" t="s">
        <v>245</v>
      </c>
      <c r="E26" s="1" t="s">
        <v>246</v>
      </c>
      <c r="F26" s="1" t="s">
        <v>90</v>
      </c>
      <c r="G26" s="1" t="s">
        <v>91</v>
      </c>
      <c r="H26" s="1" t="s">
        <v>31</v>
      </c>
      <c r="I26" s="1" t="s">
        <v>92</v>
      </c>
      <c r="J26" s="1" t="s">
        <v>33</v>
      </c>
      <c r="K26" s="1" t="s">
        <v>247</v>
      </c>
      <c r="L26" s="1" t="s">
        <v>94</v>
      </c>
      <c r="M26" s="1" t="s">
        <v>95</v>
      </c>
      <c r="N26" s="1" t="s">
        <v>248</v>
      </c>
      <c r="O26" s="1" t="s">
        <v>97</v>
      </c>
      <c r="P26" s="1" t="s">
        <v>249</v>
      </c>
      <c r="Q26" s="1"/>
      <c r="R26" s="1" t="s">
        <v>40</v>
      </c>
      <c r="S26" s="1" t="s">
        <v>41</v>
      </c>
      <c r="T26" s="7" t="s">
        <v>250</v>
      </c>
      <c r="U26" s="1" t="s">
        <v>90</v>
      </c>
      <c r="V26" s="1" t="s">
        <v>44</v>
      </c>
      <c r="W26" s="1" t="s">
        <v>44</v>
      </c>
      <c r="X26" s="1" t="s">
        <v>99</v>
      </c>
      <c r="Y26" s="1" t="s">
        <v>251</v>
      </c>
    </row>
    <row r="27" spans="1:25" ht="69.95" customHeight="1" x14ac:dyDescent="0.25">
      <c r="A27" s="11" t="s">
        <v>252</v>
      </c>
      <c r="B27" s="1">
        <v>23</v>
      </c>
      <c r="C27" s="1" t="s">
        <v>253</v>
      </c>
      <c r="D27" s="1" t="s">
        <v>254</v>
      </c>
      <c r="E27" s="1" t="s">
        <v>255</v>
      </c>
      <c r="F27" s="1" t="s">
        <v>256</v>
      </c>
      <c r="G27" s="1" t="s">
        <v>134</v>
      </c>
      <c r="H27" s="1" t="s">
        <v>31</v>
      </c>
      <c r="I27" s="1" t="s">
        <v>135</v>
      </c>
      <c r="J27" s="1" t="s">
        <v>33</v>
      </c>
      <c r="K27" s="1" t="s">
        <v>257</v>
      </c>
      <c r="L27" s="1" t="s">
        <v>190</v>
      </c>
      <c r="M27" s="1" t="s">
        <v>36</v>
      </c>
      <c r="N27" s="1" t="s">
        <v>191</v>
      </c>
      <c r="O27" s="1" t="s">
        <v>109</v>
      </c>
      <c r="P27" s="1" t="s">
        <v>249</v>
      </c>
      <c r="Q27" s="1"/>
      <c r="R27" s="1" t="s">
        <v>40</v>
      </c>
      <c r="S27" s="1" t="s">
        <v>41</v>
      </c>
      <c r="T27" s="7" t="s">
        <v>258</v>
      </c>
      <c r="U27" s="1" t="s">
        <v>43</v>
      </c>
      <c r="V27" s="1" t="s">
        <v>44</v>
      </c>
      <c r="W27" s="1" t="s">
        <v>44</v>
      </c>
      <c r="X27" s="1" t="s">
        <v>259</v>
      </c>
      <c r="Y27" s="1" t="s">
        <v>260</v>
      </c>
    </row>
    <row r="28" spans="1:25" ht="69.95" customHeight="1" x14ac:dyDescent="0.25">
      <c r="A28" s="11" t="s">
        <v>261</v>
      </c>
      <c r="B28" s="1">
        <v>23</v>
      </c>
      <c r="C28" s="1" t="s">
        <v>262</v>
      </c>
      <c r="D28" s="1" t="s">
        <v>263</v>
      </c>
      <c r="E28" s="1" t="s">
        <v>264</v>
      </c>
      <c r="F28" s="1" t="s">
        <v>256</v>
      </c>
      <c r="G28" s="1" t="s">
        <v>30</v>
      </c>
      <c r="H28" s="1" t="s">
        <v>31</v>
      </c>
      <c r="I28" s="1" t="s">
        <v>32</v>
      </c>
      <c r="J28" s="1" t="s">
        <v>33</v>
      </c>
      <c r="K28" s="1" t="s">
        <v>265</v>
      </c>
      <c r="L28" s="1" t="s">
        <v>190</v>
      </c>
      <c r="M28" s="1" t="s">
        <v>36</v>
      </c>
      <c r="N28" s="1" t="s">
        <v>191</v>
      </c>
      <c r="O28" s="1" t="s">
        <v>109</v>
      </c>
      <c r="P28" s="1" t="s">
        <v>249</v>
      </c>
      <c r="Q28" s="1"/>
      <c r="R28" s="1" t="s">
        <v>40</v>
      </c>
      <c r="S28" s="1" t="s">
        <v>41</v>
      </c>
      <c r="T28" s="7" t="s">
        <v>258</v>
      </c>
      <c r="U28" s="1" t="s">
        <v>43</v>
      </c>
      <c r="V28" s="1" t="s">
        <v>44</v>
      </c>
      <c r="W28" s="1" t="s">
        <v>44</v>
      </c>
      <c r="X28" s="1" t="s">
        <v>259</v>
      </c>
      <c r="Y28" s="1" t="s">
        <v>266</v>
      </c>
    </row>
    <row r="29" spans="1:25" ht="69.95" customHeight="1" x14ac:dyDescent="0.25">
      <c r="A29" s="11" t="s">
        <v>267</v>
      </c>
      <c r="B29" s="1">
        <v>23</v>
      </c>
      <c r="C29" s="1" t="s">
        <v>268</v>
      </c>
      <c r="D29" s="1" t="s">
        <v>269</v>
      </c>
      <c r="E29" s="1" t="s">
        <v>270</v>
      </c>
      <c r="F29" s="1" t="s">
        <v>256</v>
      </c>
      <c r="G29" s="1" t="s">
        <v>30</v>
      </c>
      <c r="H29" s="1" t="s">
        <v>31</v>
      </c>
      <c r="I29" s="1" t="s">
        <v>32</v>
      </c>
      <c r="J29" s="1" t="s">
        <v>33</v>
      </c>
      <c r="K29" s="1" t="s">
        <v>271</v>
      </c>
      <c r="L29" s="1" t="s">
        <v>190</v>
      </c>
      <c r="M29" s="1" t="s">
        <v>36</v>
      </c>
      <c r="N29" s="1" t="s">
        <v>191</v>
      </c>
      <c r="O29" s="1" t="s">
        <v>109</v>
      </c>
      <c r="P29" s="1" t="s">
        <v>249</v>
      </c>
      <c r="Q29" s="1"/>
      <c r="R29" s="1" t="s">
        <v>40</v>
      </c>
      <c r="S29" s="1" t="s">
        <v>41</v>
      </c>
      <c r="T29" s="7" t="s">
        <v>258</v>
      </c>
      <c r="U29" s="1" t="s">
        <v>43</v>
      </c>
      <c r="V29" s="1" t="s">
        <v>44</v>
      </c>
      <c r="W29" s="1" t="s">
        <v>44</v>
      </c>
      <c r="X29" s="1" t="s">
        <v>259</v>
      </c>
      <c r="Y29" s="1" t="s">
        <v>272</v>
      </c>
    </row>
    <row r="30" spans="1:25" ht="69.95" customHeight="1" x14ac:dyDescent="0.25">
      <c r="A30" s="11" t="s">
        <v>273</v>
      </c>
      <c r="B30" s="1">
        <v>23</v>
      </c>
      <c r="C30" s="1" t="s">
        <v>274</v>
      </c>
      <c r="D30" s="1" t="s">
        <v>275</v>
      </c>
      <c r="E30" s="1" t="s">
        <v>276</v>
      </c>
      <c r="F30" s="1" t="s">
        <v>277</v>
      </c>
      <c r="G30" s="1" t="s">
        <v>30</v>
      </c>
      <c r="H30" s="1" t="s">
        <v>31</v>
      </c>
      <c r="I30" s="1" t="s">
        <v>32</v>
      </c>
      <c r="J30" s="1" t="s">
        <v>33</v>
      </c>
      <c r="K30" s="1" t="s">
        <v>278</v>
      </c>
      <c r="L30" s="1" t="s">
        <v>279</v>
      </c>
      <c r="M30" s="1" t="s">
        <v>36</v>
      </c>
      <c r="N30" s="1" t="s">
        <v>280</v>
      </c>
      <c r="O30" s="1" t="s">
        <v>109</v>
      </c>
      <c r="P30" s="1" t="s">
        <v>249</v>
      </c>
      <c r="Q30" s="1"/>
      <c r="R30" s="1" t="s">
        <v>40</v>
      </c>
      <c r="S30" s="1" t="s">
        <v>41</v>
      </c>
      <c r="T30" s="7" t="s">
        <v>258</v>
      </c>
      <c r="U30" s="1" t="s">
        <v>277</v>
      </c>
      <c r="V30" s="1" t="s">
        <v>44</v>
      </c>
      <c r="W30" s="1" t="s">
        <v>44</v>
      </c>
      <c r="X30" s="1" t="s">
        <v>281</v>
      </c>
      <c r="Y30" s="1" t="s">
        <v>282</v>
      </c>
    </row>
    <row r="31" spans="1:25" ht="69.95" customHeight="1" x14ac:dyDescent="0.25">
      <c r="A31" s="11" t="s">
        <v>283</v>
      </c>
      <c r="B31" s="1">
        <v>23</v>
      </c>
      <c r="C31" s="1" t="s">
        <v>262</v>
      </c>
      <c r="D31" s="1" t="s">
        <v>284</v>
      </c>
      <c r="E31" s="1" t="s">
        <v>285</v>
      </c>
      <c r="F31" s="1" t="s">
        <v>286</v>
      </c>
      <c r="G31" s="1" t="s">
        <v>30</v>
      </c>
      <c r="H31" s="1" t="s">
        <v>31</v>
      </c>
      <c r="I31" s="1" t="s">
        <v>32</v>
      </c>
      <c r="J31" s="1" t="s">
        <v>158</v>
      </c>
      <c r="K31" s="1" t="s">
        <v>287</v>
      </c>
      <c r="L31" s="1" t="s">
        <v>279</v>
      </c>
      <c r="M31" s="1" t="s">
        <v>36</v>
      </c>
      <c r="N31" s="1" t="s">
        <v>191</v>
      </c>
      <c r="O31" s="1" t="s">
        <v>109</v>
      </c>
      <c r="P31" s="1" t="s">
        <v>249</v>
      </c>
      <c r="Q31" s="1"/>
      <c r="R31" s="1" t="s">
        <v>40</v>
      </c>
      <c r="S31" s="1" t="s">
        <v>41</v>
      </c>
      <c r="T31" s="7" t="s">
        <v>258</v>
      </c>
      <c r="U31" s="1" t="s">
        <v>43</v>
      </c>
      <c r="V31" s="1" t="s">
        <v>44</v>
      </c>
      <c r="W31" s="1" t="s">
        <v>44</v>
      </c>
      <c r="X31" s="1" t="s">
        <v>281</v>
      </c>
      <c r="Y31" s="1" t="s">
        <v>288</v>
      </c>
    </row>
    <row r="32" spans="1:25" ht="69.95" customHeight="1" x14ac:dyDescent="0.25">
      <c r="A32" s="11" t="s">
        <v>289</v>
      </c>
      <c r="B32" s="1">
        <v>23</v>
      </c>
      <c r="C32" s="1" t="s">
        <v>222</v>
      </c>
      <c r="D32" s="1" t="s">
        <v>290</v>
      </c>
      <c r="E32" s="1" t="s">
        <v>291</v>
      </c>
      <c r="F32" s="1" t="s">
        <v>167</v>
      </c>
      <c r="G32" s="1" t="s">
        <v>91</v>
      </c>
      <c r="H32" s="1" t="s">
        <v>31</v>
      </c>
      <c r="I32" s="1" t="s">
        <v>92</v>
      </c>
      <c r="J32" s="1" t="s">
        <v>33</v>
      </c>
      <c r="K32" s="1" t="s">
        <v>292</v>
      </c>
      <c r="L32" s="1" t="s">
        <v>160</v>
      </c>
      <c r="M32" s="1" t="s">
        <v>36</v>
      </c>
      <c r="N32" s="1" t="s">
        <v>191</v>
      </c>
      <c r="O32" s="1" t="s">
        <v>109</v>
      </c>
      <c r="P32" s="1" t="s">
        <v>249</v>
      </c>
      <c r="Q32" s="1"/>
      <c r="R32" s="1" t="s">
        <v>40</v>
      </c>
      <c r="S32" s="1" t="s">
        <v>41</v>
      </c>
      <c r="T32" s="7" t="s">
        <v>258</v>
      </c>
      <c r="U32" s="1" t="s">
        <v>43</v>
      </c>
      <c r="V32" s="1" t="s">
        <v>44</v>
      </c>
      <c r="W32" s="1" t="s">
        <v>44</v>
      </c>
      <c r="X32" s="1" t="s">
        <v>162</v>
      </c>
      <c r="Y32" s="1" t="s">
        <v>293</v>
      </c>
    </row>
    <row r="33" spans="1:25" ht="69.95" customHeight="1" x14ac:dyDescent="0.25">
      <c r="A33" s="11" t="s">
        <v>294</v>
      </c>
      <c r="B33" s="1">
        <v>23</v>
      </c>
      <c r="C33" s="1" t="s">
        <v>274</v>
      </c>
      <c r="D33" s="1" t="s">
        <v>295</v>
      </c>
      <c r="E33" s="1" t="s">
        <v>296</v>
      </c>
      <c r="F33" s="1" t="s">
        <v>277</v>
      </c>
      <c r="G33" s="1" t="s">
        <v>30</v>
      </c>
      <c r="H33" s="1" t="s">
        <v>31</v>
      </c>
      <c r="I33" s="1" t="s">
        <v>32</v>
      </c>
      <c r="J33" s="1" t="s">
        <v>33</v>
      </c>
      <c r="K33" s="1" t="s">
        <v>297</v>
      </c>
      <c r="L33" s="1" t="s">
        <v>279</v>
      </c>
      <c r="M33" s="1" t="s">
        <v>36</v>
      </c>
      <c r="N33" s="1" t="s">
        <v>191</v>
      </c>
      <c r="O33" s="1" t="s">
        <v>109</v>
      </c>
      <c r="P33" s="1" t="s">
        <v>249</v>
      </c>
      <c r="Q33" s="1"/>
      <c r="R33" s="1" t="s">
        <v>40</v>
      </c>
      <c r="S33" s="1" t="s">
        <v>41</v>
      </c>
      <c r="T33" s="7" t="s">
        <v>258</v>
      </c>
      <c r="U33" s="1" t="s">
        <v>277</v>
      </c>
      <c r="V33" s="1" t="s">
        <v>44</v>
      </c>
      <c r="W33" s="1" t="s">
        <v>44</v>
      </c>
      <c r="X33" s="1" t="s">
        <v>281</v>
      </c>
      <c r="Y33" s="1" t="s">
        <v>298</v>
      </c>
    </row>
    <row r="34" spans="1:25" ht="69.95" customHeight="1" x14ac:dyDescent="0.25">
      <c r="A34" s="11" t="s">
        <v>299</v>
      </c>
      <c r="B34" s="1">
        <v>23</v>
      </c>
      <c r="C34" s="1" t="s">
        <v>211</v>
      </c>
      <c r="D34" s="1" t="s">
        <v>300</v>
      </c>
      <c r="E34" s="1" t="s">
        <v>301</v>
      </c>
      <c r="F34" s="1" t="s">
        <v>167</v>
      </c>
      <c r="G34" s="1" t="s">
        <v>91</v>
      </c>
      <c r="H34" s="1" t="s">
        <v>31</v>
      </c>
      <c r="I34" s="1" t="s">
        <v>92</v>
      </c>
      <c r="J34" s="1" t="s">
        <v>33</v>
      </c>
      <c r="K34" s="1" t="s">
        <v>302</v>
      </c>
      <c r="L34" s="1" t="s">
        <v>169</v>
      </c>
      <c r="M34" s="1" t="s">
        <v>36</v>
      </c>
      <c r="N34" s="1" t="s">
        <v>191</v>
      </c>
      <c r="O34" s="1" t="s">
        <v>109</v>
      </c>
      <c r="P34" s="1" t="s">
        <v>40</v>
      </c>
      <c r="Q34" s="1"/>
      <c r="R34" s="1" t="s">
        <v>40</v>
      </c>
      <c r="S34" s="1" t="s">
        <v>41</v>
      </c>
      <c r="T34" s="7" t="s">
        <v>303</v>
      </c>
      <c r="U34" s="1" t="s">
        <v>43</v>
      </c>
      <c r="V34" s="1" t="s">
        <v>44</v>
      </c>
      <c r="W34" s="1" t="s">
        <v>44</v>
      </c>
      <c r="X34" s="1" t="s">
        <v>208</v>
      </c>
      <c r="Y34" s="1" t="s">
        <v>304</v>
      </c>
    </row>
    <row r="35" spans="1:25" ht="96.75" customHeight="1" x14ac:dyDescent="0.25">
      <c r="A35" s="11" t="s">
        <v>305</v>
      </c>
      <c r="B35" s="1">
        <v>23</v>
      </c>
      <c r="C35" s="1" t="s">
        <v>68</v>
      </c>
      <c r="D35" s="1" t="s">
        <v>306</v>
      </c>
      <c r="E35" s="1" t="s">
        <v>307</v>
      </c>
      <c r="F35" s="1" t="s">
        <v>308</v>
      </c>
      <c r="G35" s="1" t="s">
        <v>134</v>
      </c>
      <c r="H35" s="1" t="s">
        <v>31</v>
      </c>
      <c r="I35" s="1" t="s">
        <v>135</v>
      </c>
      <c r="J35" s="1" t="s">
        <v>33</v>
      </c>
      <c r="K35" s="1" t="s">
        <v>309</v>
      </c>
      <c r="L35" s="1" t="s">
        <v>310</v>
      </c>
      <c r="M35" s="1" t="s">
        <v>36</v>
      </c>
      <c r="N35" s="1" t="s">
        <v>311</v>
      </c>
      <c r="O35" s="1" t="s">
        <v>312</v>
      </c>
      <c r="P35" s="1" t="s">
        <v>40</v>
      </c>
      <c r="Q35" s="1"/>
      <c r="R35" s="1" t="s">
        <v>40</v>
      </c>
      <c r="S35" s="1" t="s">
        <v>41</v>
      </c>
      <c r="T35" s="7" t="s">
        <v>303</v>
      </c>
      <c r="U35" s="1" t="s">
        <v>43</v>
      </c>
      <c r="V35" s="1" t="s">
        <v>44</v>
      </c>
      <c r="W35" s="1" t="s">
        <v>44</v>
      </c>
      <c r="X35" s="1" t="s">
        <v>313</v>
      </c>
      <c r="Y35" s="1" t="s">
        <v>314</v>
      </c>
    </row>
    <row r="36" spans="1:25" ht="69.95" customHeight="1" x14ac:dyDescent="0.25">
      <c r="A36" s="11" t="s">
        <v>315</v>
      </c>
      <c r="B36" s="1">
        <v>23</v>
      </c>
      <c r="C36" s="1" t="s">
        <v>316</v>
      </c>
      <c r="D36" s="1" t="s">
        <v>317</v>
      </c>
      <c r="E36" s="1" t="s">
        <v>318</v>
      </c>
      <c r="F36" s="1" t="s">
        <v>167</v>
      </c>
      <c r="G36" s="1" t="s">
        <v>30</v>
      </c>
      <c r="H36" s="1" t="s">
        <v>31</v>
      </c>
      <c r="I36" s="1" t="s">
        <v>32</v>
      </c>
      <c r="J36" s="1" t="s">
        <v>33</v>
      </c>
      <c r="K36" s="1" t="s">
        <v>319</v>
      </c>
      <c r="L36" s="1" t="s">
        <v>160</v>
      </c>
      <c r="M36" s="1" t="s">
        <v>36</v>
      </c>
      <c r="N36" s="1" t="s">
        <v>191</v>
      </c>
      <c r="O36" s="1" t="s">
        <v>109</v>
      </c>
      <c r="P36" s="1" t="s">
        <v>40</v>
      </c>
      <c r="Q36" s="1"/>
      <c r="R36" s="1" t="s">
        <v>40</v>
      </c>
      <c r="S36" s="1" t="s">
        <v>41</v>
      </c>
      <c r="T36" s="7" t="s">
        <v>303</v>
      </c>
      <c r="U36" s="1" t="s">
        <v>43</v>
      </c>
      <c r="V36" s="1" t="s">
        <v>44</v>
      </c>
      <c r="W36" s="1" t="s">
        <v>44</v>
      </c>
      <c r="X36" s="1" t="s">
        <v>162</v>
      </c>
      <c r="Y36" s="1" t="s">
        <v>320</v>
      </c>
    </row>
    <row r="37" spans="1:25" ht="69.95" customHeight="1" x14ac:dyDescent="0.25">
      <c r="A37" s="11" t="s">
        <v>321</v>
      </c>
      <c r="B37" s="1">
        <v>23</v>
      </c>
      <c r="C37" s="1" t="s">
        <v>26</v>
      </c>
      <c r="D37" s="1" t="s">
        <v>322</v>
      </c>
      <c r="E37" s="1" t="s">
        <v>323</v>
      </c>
      <c r="F37" s="1" t="s">
        <v>29</v>
      </c>
      <c r="G37" s="1" t="s">
        <v>91</v>
      </c>
      <c r="H37" s="1" t="s">
        <v>31</v>
      </c>
      <c r="I37" s="1" t="s">
        <v>92</v>
      </c>
      <c r="J37" s="1" t="s">
        <v>33</v>
      </c>
      <c r="K37" s="1" t="s">
        <v>324</v>
      </c>
      <c r="L37" s="1" t="s">
        <v>169</v>
      </c>
      <c r="M37" s="1" t="s">
        <v>36</v>
      </c>
      <c r="N37" s="1" t="s">
        <v>325</v>
      </c>
      <c r="O37" s="1" t="s">
        <v>38</v>
      </c>
      <c r="P37" s="1" t="s">
        <v>40</v>
      </c>
      <c r="Q37" s="1"/>
      <c r="R37" s="1" t="s">
        <v>40</v>
      </c>
      <c r="S37" s="1" t="s">
        <v>41</v>
      </c>
      <c r="T37" s="7" t="s">
        <v>303</v>
      </c>
      <c r="U37" s="1" t="s">
        <v>43</v>
      </c>
      <c r="V37" s="1" t="s">
        <v>44</v>
      </c>
      <c r="W37" s="1" t="s">
        <v>44</v>
      </c>
      <c r="X37" s="1" t="s">
        <v>208</v>
      </c>
      <c r="Y37" s="1" t="s">
        <v>326</v>
      </c>
    </row>
  </sheetData>
  <conditionalFormatting sqref="G2:G58">
    <cfRule type="expression" dxfId="28" priority="1">
      <formula>G2="Critical"</formula>
    </cfRule>
    <cfRule type="expression" dxfId="27" priority="2">
      <formula>G2="High"</formula>
    </cfRule>
    <cfRule type="expression" dxfId="26" priority="3">
      <formula>G2="Medium"</formula>
    </cfRule>
    <cfRule type="expression" dxfId="25" priority="4">
      <formula>G2="Low"</formula>
    </cfRule>
  </conditionalFormatting>
  <conditionalFormatting sqref="J2:J58">
    <cfRule type="expression" dxfId="24" priority="5">
      <formula>J2="Open"</formula>
    </cfRule>
    <cfRule type="expression" dxfId="23" priority="6">
      <formula>J2="In Progress"</formula>
    </cfRule>
    <cfRule type="expression" dxfId="22" priority="7">
      <formula>J2="Retest"</formula>
    </cfRule>
    <cfRule type="expression" dxfId="21" priority="8">
      <formula>J2="Fixed"</formula>
    </cfRule>
    <cfRule type="expression" dxfId="20" priority="9">
      <formula>J2="Closed"</formula>
    </cfRule>
    <cfRule type="expression" dxfId="19" priority="10">
      <formula>J2="Needs verification"</formula>
    </cfRule>
  </conditionalFormatting>
  <conditionalFormatting sqref="G2:G37">
    <cfRule type="expression" dxfId="18" priority="11">
      <formula>G2="Critical"</formula>
    </cfRule>
    <cfRule type="expression" dxfId="17" priority="12">
      <formula>G2="High"</formula>
    </cfRule>
    <cfRule type="expression" dxfId="16" priority="13">
      <formula>G2="Medium"</formula>
    </cfRule>
    <cfRule type="expression" dxfId="15" priority="14">
      <formula>G2="Low"</formula>
    </cfRule>
  </conditionalFormatting>
  <conditionalFormatting sqref="I2:I37">
    <cfRule type="expression" dxfId="14" priority="15">
      <formula>I2="P0"</formula>
    </cfRule>
    <cfRule type="expression" dxfId="13" priority="16">
      <formula>I2="P1"</formula>
    </cfRule>
    <cfRule type="expression" dxfId="12" priority="17">
      <formula>I2="P2"</formula>
    </cfRule>
    <cfRule type="expression" dxfId="11" priority="18">
      <formula>I2="P3"</formula>
    </cfRule>
  </conditionalFormatting>
  <conditionalFormatting sqref="J2:J37">
    <cfRule type="expression" dxfId="10" priority="19">
      <formula>J2="Open"</formula>
    </cfRule>
    <cfRule type="expression" dxfId="9" priority="20">
      <formula>J2="In Progress"</formula>
    </cfRule>
    <cfRule type="expression" dxfId="8" priority="21">
      <formula>J2="Retest"</formula>
    </cfRule>
    <cfRule type="expression" dxfId="7" priority="22">
      <formula>J2="Fixed"</formula>
    </cfRule>
    <cfRule type="expression" dxfId="6" priority="23">
      <formula>J2="Closed"</formula>
    </cfRule>
    <cfRule type="expression" dxfId="5" priority="24">
      <formula>J2="Needs verification"</formula>
    </cfRule>
  </conditionalFormatting>
  <hyperlinks>
    <hyperlink ref="T2" r:id="rId1" xr:uid="{00000000-0004-0000-0100-000000000000}"/>
    <hyperlink ref="T3" r:id="rId2" xr:uid="{00000000-0004-0000-0100-000001000000}"/>
    <hyperlink ref="T4" r:id="rId3" xr:uid="{00000000-0004-0000-0100-000002000000}"/>
    <hyperlink ref="T5" r:id="rId4" xr:uid="{00000000-0004-0000-0100-000003000000}"/>
    <hyperlink ref="T6" r:id="rId5" xr:uid="{00000000-0004-0000-0100-000004000000}"/>
    <hyperlink ref="T7" r:id="rId6" xr:uid="{00000000-0004-0000-0100-000005000000}"/>
    <hyperlink ref="T8" r:id="rId7" xr:uid="{00000000-0004-0000-0100-000006000000}"/>
    <hyperlink ref="T9" r:id="rId8" xr:uid="{00000000-0004-0000-0100-000007000000}"/>
    <hyperlink ref="T10" r:id="rId9" xr:uid="{00000000-0004-0000-0100-000008000000}"/>
    <hyperlink ref="T11" r:id="rId10" xr:uid="{00000000-0004-0000-0100-000009000000}"/>
    <hyperlink ref="T12" r:id="rId11" xr:uid="{00000000-0004-0000-0100-00000A000000}"/>
    <hyperlink ref="T13" r:id="rId12" xr:uid="{00000000-0004-0000-0100-00000B000000}"/>
    <hyperlink ref="T14" r:id="rId13" xr:uid="{00000000-0004-0000-0100-00000C000000}"/>
    <hyperlink ref="T15" r:id="rId14" xr:uid="{00000000-0004-0000-0100-00000D000000}"/>
    <hyperlink ref="T16" r:id="rId15" xr:uid="{00000000-0004-0000-0100-00000E000000}"/>
    <hyperlink ref="T17" r:id="rId16" xr:uid="{00000000-0004-0000-0100-00000F000000}"/>
    <hyperlink ref="T18" r:id="rId17" xr:uid="{00000000-0004-0000-0100-000010000000}"/>
    <hyperlink ref="T19" r:id="rId18" xr:uid="{00000000-0004-0000-0100-000011000000}"/>
    <hyperlink ref="T20" r:id="rId19" xr:uid="{00000000-0004-0000-0100-000012000000}"/>
    <hyperlink ref="T21" r:id="rId20" xr:uid="{00000000-0004-0000-0100-000013000000}"/>
    <hyperlink ref="T22" r:id="rId21" xr:uid="{00000000-0004-0000-0100-000014000000}"/>
    <hyperlink ref="T23" r:id="rId22" xr:uid="{00000000-0004-0000-0100-000015000000}"/>
    <hyperlink ref="T24" r:id="rId23" xr:uid="{00000000-0004-0000-0100-000016000000}"/>
    <hyperlink ref="T25" r:id="rId24" xr:uid="{00000000-0004-0000-0100-000017000000}"/>
    <hyperlink ref="T26" r:id="rId25" xr:uid="{00000000-0004-0000-0100-000018000000}"/>
    <hyperlink ref="T27" r:id="rId26" xr:uid="{00000000-0004-0000-0100-000019000000}"/>
    <hyperlink ref="T28" r:id="rId27" xr:uid="{00000000-0004-0000-0100-00001A000000}"/>
    <hyperlink ref="T29" r:id="rId28" xr:uid="{00000000-0004-0000-0100-00001B000000}"/>
    <hyperlink ref="T30" r:id="rId29" xr:uid="{00000000-0004-0000-0100-00001C000000}"/>
    <hyperlink ref="T31" r:id="rId30" xr:uid="{00000000-0004-0000-0100-00001D000000}"/>
    <hyperlink ref="T32" r:id="rId31" xr:uid="{00000000-0004-0000-0100-00001E000000}"/>
    <hyperlink ref="T33" r:id="rId32" xr:uid="{00000000-0004-0000-0100-00001F000000}"/>
    <hyperlink ref="T34" r:id="rId33" xr:uid="{00000000-0004-0000-0100-000020000000}"/>
    <hyperlink ref="T35" r:id="rId34" xr:uid="{00000000-0004-0000-0100-000021000000}"/>
    <hyperlink ref="T36" r:id="rId35" xr:uid="{00000000-0004-0000-0100-000022000000}"/>
    <hyperlink ref="T37" r:id="rId36" xr:uid="{00000000-0004-0000-0100-00002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2"/>
  <sheetViews>
    <sheetView workbookViewId="0"/>
  </sheetViews>
  <sheetFormatPr defaultRowHeight="15" x14ac:dyDescent="0.25"/>
  <cols>
    <col min="1" max="1" width="34" customWidth="1"/>
    <col min="2" max="2" width="72" customWidth="1"/>
  </cols>
  <sheetData>
    <row r="1" spans="1:2" ht="37.5" customHeight="1" x14ac:dyDescent="0.3">
      <c r="A1" s="12" t="s">
        <v>327</v>
      </c>
      <c r="B1" s="13"/>
    </row>
    <row r="2" spans="1:2" x14ac:dyDescent="0.25">
      <c r="A2" s="9"/>
      <c r="B2" s="1"/>
    </row>
    <row r="3" spans="1:2" ht="15.75" customHeight="1" x14ac:dyDescent="0.25">
      <c r="A3" s="14" t="s">
        <v>5</v>
      </c>
      <c r="B3" s="1"/>
    </row>
    <row r="4" spans="1:2" x14ac:dyDescent="0.25">
      <c r="A4" s="9" t="s">
        <v>5</v>
      </c>
      <c r="B4" s="5" t="s">
        <v>328</v>
      </c>
    </row>
    <row r="5" spans="1:2" x14ac:dyDescent="0.25">
      <c r="A5" s="9" t="s">
        <v>29</v>
      </c>
      <c r="B5" s="1" t="s">
        <v>329</v>
      </c>
    </row>
    <row r="6" spans="1:2" x14ac:dyDescent="0.25">
      <c r="A6" s="9" t="s">
        <v>308</v>
      </c>
      <c r="B6" s="1" t="s">
        <v>330</v>
      </c>
    </row>
    <row r="7" spans="1:2" x14ac:dyDescent="0.25">
      <c r="A7" s="9" t="s">
        <v>167</v>
      </c>
      <c r="B7" s="1" t="s">
        <v>331</v>
      </c>
    </row>
    <row r="8" spans="1:2" x14ac:dyDescent="0.25">
      <c r="A8" s="9" t="s">
        <v>188</v>
      </c>
      <c r="B8" s="1" t="s">
        <v>332</v>
      </c>
    </row>
    <row r="9" spans="1:2" x14ac:dyDescent="0.25">
      <c r="A9" s="9" t="s">
        <v>286</v>
      </c>
      <c r="B9" s="1" t="s">
        <v>333</v>
      </c>
    </row>
    <row r="10" spans="1:2" x14ac:dyDescent="0.25">
      <c r="A10" s="9" t="s">
        <v>256</v>
      </c>
      <c r="B10" s="1" t="s">
        <v>334</v>
      </c>
    </row>
    <row r="11" spans="1:2" x14ac:dyDescent="0.25">
      <c r="A11" s="9" t="s">
        <v>105</v>
      </c>
      <c r="B11" s="1" t="s">
        <v>335</v>
      </c>
    </row>
    <row r="12" spans="1:2" x14ac:dyDescent="0.25">
      <c r="A12" s="9" t="s">
        <v>118</v>
      </c>
      <c r="B12" s="1" t="s">
        <v>336</v>
      </c>
    </row>
    <row r="13" spans="1:2" x14ac:dyDescent="0.25">
      <c r="A13" s="9" t="s">
        <v>133</v>
      </c>
      <c r="B13" s="1" t="s">
        <v>337</v>
      </c>
    </row>
    <row r="14" spans="1:2" x14ac:dyDescent="0.25">
      <c r="A14" s="9" t="s">
        <v>201</v>
      </c>
      <c r="B14" s="1" t="s">
        <v>338</v>
      </c>
    </row>
    <row r="15" spans="1:2" x14ac:dyDescent="0.25">
      <c r="A15" s="9" t="s">
        <v>157</v>
      </c>
      <c r="B15" s="1" t="s">
        <v>339</v>
      </c>
    </row>
    <row r="16" spans="1:2" x14ac:dyDescent="0.25">
      <c r="A16" s="9" t="s">
        <v>236</v>
      </c>
      <c r="B16" s="1" t="s">
        <v>340</v>
      </c>
    </row>
    <row r="17" spans="1:2" x14ac:dyDescent="0.25">
      <c r="A17" s="9" t="s">
        <v>341</v>
      </c>
      <c r="B17" s="1" t="s">
        <v>342</v>
      </c>
    </row>
    <row r="18" spans="1:2" x14ac:dyDescent="0.25">
      <c r="A18" s="9" t="s">
        <v>343</v>
      </c>
      <c r="B18" s="1" t="s">
        <v>344</v>
      </c>
    </row>
    <row r="19" spans="1:2" x14ac:dyDescent="0.25">
      <c r="A19" s="9" t="s">
        <v>277</v>
      </c>
      <c r="B19" s="1" t="s">
        <v>345</v>
      </c>
    </row>
    <row r="20" spans="1:2" x14ac:dyDescent="0.25">
      <c r="A20" s="9" t="s">
        <v>346</v>
      </c>
      <c r="B20" s="1" t="s">
        <v>347</v>
      </c>
    </row>
    <row r="21" spans="1:2" x14ac:dyDescent="0.25">
      <c r="A21" s="9" t="s">
        <v>348</v>
      </c>
      <c r="B21" s="1" t="s">
        <v>349</v>
      </c>
    </row>
    <row r="22" spans="1:2" x14ac:dyDescent="0.25">
      <c r="A22" s="9" t="s">
        <v>90</v>
      </c>
      <c r="B22" s="1" t="s">
        <v>350</v>
      </c>
    </row>
    <row r="23" spans="1:2" x14ac:dyDescent="0.25">
      <c r="A23" s="9"/>
      <c r="B23" s="1"/>
    </row>
    <row r="24" spans="1:2" ht="15.75" customHeight="1" x14ac:dyDescent="0.25">
      <c r="A24" s="14" t="s">
        <v>6</v>
      </c>
      <c r="B24" s="1"/>
    </row>
    <row r="25" spans="1:2" x14ac:dyDescent="0.25">
      <c r="A25" s="9" t="s">
        <v>6</v>
      </c>
      <c r="B25" s="5" t="s">
        <v>351</v>
      </c>
    </row>
    <row r="26" spans="1:2" ht="30" x14ac:dyDescent="0.25">
      <c r="A26" s="9" t="s">
        <v>352</v>
      </c>
      <c r="B26" s="1" t="s">
        <v>353</v>
      </c>
    </row>
    <row r="27" spans="1:2" x14ac:dyDescent="0.25">
      <c r="A27" s="9" t="s">
        <v>134</v>
      </c>
      <c r="B27" s="1" t="s">
        <v>354</v>
      </c>
    </row>
    <row r="28" spans="1:2" x14ac:dyDescent="0.25">
      <c r="A28" s="9" t="s">
        <v>30</v>
      </c>
      <c r="B28" s="1" t="s">
        <v>355</v>
      </c>
    </row>
    <row r="29" spans="1:2" x14ac:dyDescent="0.25">
      <c r="A29" s="9" t="s">
        <v>91</v>
      </c>
      <c r="B29" s="1" t="s">
        <v>356</v>
      </c>
    </row>
    <row r="30" spans="1:2" x14ac:dyDescent="0.25">
      <c r="A30" s="9"/>
      <c r="B30" s="1"/>
    </row>
    <row r="31" spans="1:2" ht="15.75" customHeight="1" x14ac:dyDescent="0.25">
      <c r="A31" s="14" t="s">
        <v>9</v>
      </c>
      <c r="B31" s="1"/>
    </row>
    <row r="32" spans="1:2" x14ac:dyDescent="0.25">
      <c r="A32" s="9" t="s">
        <v>9</v>
      </c>
      <c r="B32" s="5" t="s">
        <v>357</v>
      </c>
    </row>
    <row r="33" spans="1:2" x14ac:dyDescent="0.25">
      <c r="A33" s="9" t="s">
        <v>33</v>
      </c>
      <c r="B33" s="1" t="s">
        <v>358</v>
      </c>
    </row>
    <row r="34" spans="1:2" x14ac:dyDescent="0.25">
      <c r="A34" s="9" t="s">
        <v>359</v>
      </c>
      <c r="B34" s="1" t="s">
        <v>360</v>
      </c>
    </row>
    <row r="35" spans="1:2" x14ac:dyDescent="0.25">
      <c r="A35" s="9" t="s">
        <v>361</v>
      </c>
      <c r="B35" s="1" t="s">
        <v>362</v>
      </c>
    </row>
    <row r="36" spans="1:2" x14ac:dyDescent="0.25">
      <c r="A36" s="9" t="s">
        <v>50</v>
      </c>
      <c r="B36" s="1" t="s">
        <v>363</v>
      </c>
    </row>
    <row r="37" spans="1:2" x14ac:dyDescent="0.25">
      <c r="A37" s="9" t="s">
        <v>364</v>
      </c>
      <c r="B37" s="1" t="s">
        <v>365</v>
      </c>
    </row>
    <row r="38" spans="1:2" x14ac:dyDescent="0.25">
      <c r="A38" s="9" t="s">
        <v>158</v>
      </c>
      <c r="B38" s="1" t="s">
        <v>366</v>
      </c>
    </row>
    <row r="39" spans="1:2" x14ac:dyDescent="0.25">
      <c r="A39" s="9"/>
      <c r="B39" s="1"/>
    </row>
    <row r="40" spans="1:2" ht="15.75" customHeight="1" x14ac:dyDescent="0.25">
      <c r="A40" s="14" t="s">
        <v>11</v>
      </c>
      <c r="B40" s="1"/>
    </row>
    <row r="41" spans="1:2" x14ac:dyDescent="0.25">
      <c r="A41" s="9" t="s">
        <v>11</v>
      </c>
      <c r="B41" s="5"/>
    </row>
    <row r="42" spans="1:2" ht="30" customHeight="1" x14ac:dyDescent="0.25">
      <c r="A42" s="9" t="s">
        <v>190</v>
      </c>
      <c r="B42" s="1"/>
    </row>
    <row r="43" spans="1:2" ht="30" customHeight="1" x14ac:dyDescent="0.25">
      <c r="A43" s="9" t="s">
        <v>367</v>
      </c>
      <c r="B43" s="1"/>
    </row>
    <row r="44" spans="1:2" ht="30" customHeight="1" x14ac:dyDescent="0.25">
      <c r="A44" s="9" t="s">
        <v>107</v>
      </c>
      <c r="B44" s="1"/>
    </row>
    <row r="45" spans="1:2" ht="30" x14ac:dyDescent="0.25">
      <c r="A45" s="9" t="s">
        <v>215</v>
      </c>
      <c r="B45" s="1"/>
    </row>
    <row r="46" spans="1:2" ht="30" customHeight="1" x14ac:dyDescent="0.25">
      <c r="A46" s="9" t="s">
        <v>160</v>
      </c>
      <c r="B46" s="1"/>
    </row>
    <row r="47" spans="1:2" ht="30" customHeight="1" x14ac:dyDescent="0.25">
      <c r="A47" s="9" t="s">
        <v>368</v>
      </c>
      <c r="B47" s="1"/>
    </row>
    <row r="48" spans="1:2" x14ac:dyDescent="0.25">
      <c r="A48" s="9" t="s">
        <v>369</v>
      </c>
      <c r="B48" s="1"/>
    </row>
    <row r="49" spans="1:2" ht="30" customHeight="1" x14ac:dyDescent="0.25">
      <c r="A49" s="9" t="s">
        <v>279</v>
      </c>
      <c r="B49" s="1"/>
    </row>
    <row r="50" spans="1:2" ht="30" customHeight="1" x14ac:dyDescent="0.25">
      <c r="A50" s="9" t="s">
        <v>169</v>
      </c>
      <c r="B50" s="1"/>
    </row>
    <row r="51" spans="1:2" ht="30" customHeight="1" x14ac:dyDescent="0.25">
      <c r="A51" s="9" t="s">
        <v>35</v>
      </c>
      <c r="B51" s="1"/>
    </row>
    <row r="52" spans="1:2" ht="30" customHeight="1" x14ac:dyDescent="0.25">
      <c r="A52" s="9" t="s">
        <v>94</v>
      </c>
      <c r="B52" s="1"/>
    </row>
    <row r="53" spans="1:2" ht="30" customHeight="1" x14ac:dyDescent="0.25">
      <c r="A53" s="9" t="s">
        <v>310</v>
      </c>
      <c r="B53" s="1"/>
    </row>
    <row r="54" spans="1:2" ht="30" x14ac:dyDescent="0.25">
      <c r="A54" s="9" t="s">
        <v>238</v>
      </c>
      <c r="B54" s="1"/>
    </row>
    <row r="55" spans="1:2" x14ac:dyDescent="0.25">
      <c r="A55" s="9"/>
      <c r="B55" s="1"/>
    </row>
    <row r="56" spans="1:2" ht="15.75" customHeight="1" x14ac:dyDescent="0.25">
      <c r="A56" s="14" t="s">
        <v>20</v>
      </c>
      <c r="B56" s="1"/>
    </row>
    <row r="57" spans="1:2" x14ac:dyDescent="0.25">
      <c r="A57" s="9" t="s">
        <v>20</v>
      </c>
      <c r="B57" s="5" t="s">
        <v>357</v>
      </c>
    </row>
    <row r="58" spans="1:2" x14ac:dyDescent="0.25">
      <c r="A58" s="9" t="s">
        <v>43</v>
      </c>
      <c r="B58" s="1" t="s">
        <v>370</v>
      </c>
    </row>
    <row r="59" spans="1:2" x14ac:dyDescent="0.25">
      <c r="A59" s="9" t="s">
        <v>371</v>
      </c>
      <c r="B59" s="1" t="s">
        <v>372</v>
      </c>
    </row>
    <row r="60" spans="1:2" x14ac:dyDescent="0.25">
      <c r="A60" s="9" t="s">
        <v>241</v>
      </c>
      <c r="B60" s="1" t="s">
        <v>373</v>
      </c>
    </row>
    <row r="61" spans="1:2" x14ac:dyDescent="0.25">
      <c r="A61" s="9" t="s">
        <v>277</v>
      </c>
      <c r="B61" s="1" t="s">
        <v>374</v>
      </c>
    </row>
    <row r="62" spans="1:2" x14ac:dyDescent="0.25">
      <c r="A62" s="9" t="s">
        <v>375</v>
      </c>
      <c r="B62" s="1" t="s">
        <v>376</v>
      </c>
    </row>
    <row r="63" spans="1:2" x14ac:dyDescent="0.25">
      <c r="A63" s="9" t="s">
        <v>90</v>
      </c>
      <c r="B63" s="1" t="s">
        <v>377</v>
      </c>
    </row>
    <row r="64" spans="1:2" x14ac:dyDescent="0.25">
      <c r="A64" s="9" t="s">
        <v>195</v>
      </c>
      <c r="B64" s="1" t="s">
        <v>378</v>
      </c>
    </row>
    <row r="65" spans="1:2" x14ac:dyDescent="0.25">
      <c r="A65" s="9"/>
      <c r="B65" s="1"/>
    </row>
    <row r="66" spans="1:2" ht="15.75" customHeight="1" x14ac:dyDescent="0.25">
      <c r="A66" s="14" t="s">
        <v>12</v>
      </c>
      <c r="B66" s="1"/>
    </row>
    <row r="67" spans="1:2" x14ac:dyDescent="0.25">
      <c r="A67" s="9" t="s">
        <v>12</v>
      </c>
      <c r="B67" s="5"/>
    </row>
    <row r="68" spans="1:2" x14ac:dyDescent="0.25">
      <c r="A68" s="9" t="s">
        <v>95</v>
      </c>
      <c r="B68" s="1"/>
    </row>
    <row r="69" spans="1:2" x14ac:dyDescent="0.25">
      <c r="A69" s="9" t="s">
        <v>379</v>
      </c>
      <c r="B69" s="1"/>
    </row>
    <row r="70" spans="1:2" x14ac:dyDescent="0.25">
      <c r="A70" s="9" t="s">
        <v>380</v>
      </c>
      <c r="B70" s="1"/>
    </row>
    <row r="71" spans="1:2" x14ac:dyDescent="0.25">
      <c r="A71" s="9" t="s">
        <v>36</v>
      </c>
      <c r="B71" s="1"/>
    </row>
    <row r="72" spans="1:2" x14ac:dyDescent="0.25">
      <c r="A72" s="9"/>
      <c r="B72" s="1"/>
    </row>
    <row r="73" spans="1:2" ht="15.75" customHeight="1" x14ac:dyDescent="0.25">
      <c r="A73" s="14" t="s">
        <v>381</v>
      </c>
      <c r="B73" s="1"/>
    </row>
    <row r="74" spans="1:2" x14ac:dyDescent="0.25">
      <c r="A74" s="9" t="s">
        <v>381</v>
      </c>
      <c r="B74" s="5"/>
    </row>
    <row r="75" spans="1:2" x14ac:dyDescent="0.25">
      <c r="A75" s="9" t="s">
        <v>38</v>
      </c>
      <c r="B75" s="1"/>
    </row>
    <row r="76" spans="1:2" x14ac:dyDescent="0.25">
      <c r="A76" s="9" t="s">
        <v>109</v>
      </c>
      <c r="B76" s="1"/>
    </row>
    <row r="77" spans="1:2" x14ac:dyDescent="0.25">
      <c r="A77" s="9" t="s">
        <v>312</v>
      </c>
      <c r="B77" s="1"/>
    </row>
    <row r="78" spans="1:2" x14ac:dyDescent="0.25">
      <c r="A78" s="9" t="s">
        <v>204</v>
      </c>
      <c r="B78" s="1"/>
    </row>
    <row r="79" spans="1:2" x14ac:dyDescent="0.25">
      <c r="A79" s="9" t="s">
        <v>97</v>
      </c>
      <c r="B79" s="1"/>
    </row>
    <row r="80" spans="1:2" x14ac:dyDescent="0.25">
      <c r="A80" s="9" t="s">
        <v>192</v>
      </c>
      <c r="B80" s="1" t="s">
        <v>382</v>
      </c>
    </row>
    <row r="81" spans="1:2" x14ac:dyDescent="0.25">
      <c r="A81" s="9"/>
      <c r="B81" s="1"/>
    </row>
    <row r="82" spans="1:2" ht="120" x14ac:dyDescent="0.25">
      <c r="A82" s="9" t="s">
        <v>383</v>
      </c>
      <c r="B8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2"/>
  <sheetViews>
    <sheetView tabSelected="1" topLeftCell="A7" workbookViewId="0">
      <selection activeCell="C18" sqref="C18"/>
    </sheetView>
  </sheetViews>
  <sheetFormatPr defaultRowHeight="15" x14ac:dyDescent="0.25"/>
  <cols>
    <col min="1" max="1" width="43" customWidth="1"/>
    <col min="2" max="2" width="18" customWidth="1"/>
    <col min="3" max="8" width="15" customWidth="1"/>
    <col min="9" max="10" width="3" customWidth="1"/>
    <col min="11" max="15" width="12" customWidth="1"/>
  </cols>
  <sheetData>
    <row r="1" spans="1:8" ht="30" customHeight="1" x14ac:dyDescent="0.25">
      <c r="A1" s="15" t="s">
        <v>384</v>
      </c>
      <c r="B1" s="15"/>
      <c r="C1" s="15"/>
      <c r="D1" s="15"/>
      <c r="E1" s="15"/>
      <c r="F1" s="15"/>
      <c r="G1" s="15"/>
      <c r="H1" s="15"/>
    </row>
    <row r="2" spans="1:8" ht="60" customHeight="1" x14ac:dyDescent="0.25">
      <c r="A2" s="16" t="s">
        <v>385</v>
      </c>
      <c r="B2" s="16"/>
      <c r="C2" s="16"/>
      <c r="D2" s="16"/>
      <c r="E2" s="16"/>
      <c r="F2" s="16"/>
      <c r="G2" s="16"/>
      <c r="H2" s="16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ht="15.75" customHeight="1" x14ac:dyDescent="0.25">
      <c r="A4" s="17" t="s">
        <v>386</v>
      </c>
      <c r="B4" s="18"/>
      <c r="C4" s="18"/>
      <c r="D4" s="18"/>
      <c r="E4" s="18"/>
      <c r="F4" s="18"/>
      <c r="G4" s="18"/>
      <c r="H4" s="18"/>
    </row>
    <row r="5" spans="1:8" ht="15.75" x14ac:dyDescent="0.25">
      <c r="A5" s="21" t="s">
        <v>387</v>
      </c>
      <c r="B5" s="22">
        <f>COUNTA(Defect_Log!$A$2:$A$37)</f>
        <v>36</v>
      </c>
      <c r="C5" s="2"/>
      <c r="D5" s="2"/>
      <c r="E5" s="2"/>
      <c r="F5" s="2"/>
      <c r="G5" s="2"/>
      <c r="H5" s="2"/>
    </row>
    <row r="6" spans="1:8" ht="15.75" x14ac:dyDescent="0.25">
      <c r="A6" s="21" t="s">
        <v>388</v>
      </c>
      <c r="B6" s="22">
        <f>COUNTIF(Defect_Log!$J$2:$J$37,"Open")+COUNTIF(Defect_Log!$J$2:$J$37,"In Progress")</f>
        <v>27</v>
      </c>
      <c r="C6" s="2"/>
      <c r="D6" s="2"/>
      <c r="E6" s="2"/>
      <c r="F6" s="2"/>
      <c r="G6" s="2"/>
      <c r="H6" s="2"/>
    </row>
    <row r="7" spans="1:8" ht="30" x14ac:dyDescent="0.25">
      <c r="A7" s="21" t="s">
        <v>389</v>
      </c>
      <c r="B7" s="22">
        <f>COUNTIF(Defect_Log!$J$2:$J$37,"Fixed")+COUNTIF(Defect_Log!$J$2:$J$37,"Closed")</f>
        <v>0</v>
      </c>
      <c r="C7" s="2"/>
      <c r="D7" s="2"/>
      <c r="E7" s="2"/>
      <c r="F7" s="2"/>
      <c r="G7" s="2"/>
      <c r="H7" s="2"/>
    </row>
    <row r="8" spans="1:8" ht="15.75" x14ac:dyDescent="0.25">
      <c r="A8" s="21" t="s">
        <v>390</v>
      </c>
      <c r="B8" s="22">
        <f>COUNTIF(Defect_Log!$J$2:$J$37,"Retest")</f>
        <v>5</v>
      </c>
      <c r="C8" s="2"/>
      <c r="D8" s="2"/>
      <c r="E8" s="2"/>
      <c r="F8" s="2"/>
      <c r="G8" s="2"/>
      <c r="H8" s="2"/>
    </row>
    <row r="9" spans="1:8" ht="15.75" x14ac:dyDescent="0.25">
      <c r="A9" s="21" t="s">
        <v>391</v>
      </c>
      <c r="B9" s="22">
        <f>COUNTIF(Defect_Log!$J$2:$J$37,"Needs verification")</f>
        <v>4</v>
      </c>
      <c r="C9" s="2"/>
      <c r="D9" s="2"/>
      <c r="E9" s="2"/>
      <c r="F9" s="2"/>
      <c r="G9" s="2"/>
      <c r="H9" s="2"/>
    </row>
    <row r="10" spans="1:8" ht="15.75" x14ac:dyDescent="0.25">
      <c r="A10" s="21" t="s">
        <v>392</v>
      </c>
      <c r="B10" s="22">
        <f>COUNTIFS(Defect_Log!$J$2:$J$37,"Open",Defect_Log!$G$2:$G$37,"Critical")+COUNTIFS(Defect_Log!$J$2:$J$37,"Open",Defect_Log!$G$2:$G$37,"High")</f>
        <v>6</v>
      </c>
      <c r="C10" s="2"/>
      <c r="D10" s="2"/>
      <c r="E10" s="2"/>
      <c r="F10" s="2"/>
      <c r="G10" s="2"/>
      <c r="H10" s="2"/>
    </row>
    <row r="11" spans="1:8" ht="15.75" x14ac:dyDescent="0.25">
      <c r="A11" s="21" t="s">
        <v>393</v>
      </c>
      <c r="B11" s="22">
        <f>COUNTIF(Defect_Log!$V$2:$V$37,"Y")</f>
        <v>0</v>
      </c>
      <c r="C11" s="2"/>
      <c r="D11" s="2"/>
      <c r="E11" s="2"/>
      <c r="F11" s="2"/>
      <c r="G11" s="2"/>
      <c r="H11" s="2"/>
    </row>
    <row r="12" spans="1:8" ht="15.75" x14ac:dyDescent="0.25">
      <c r="A12" s="21" t="s">
        <v>22</v>
      </c>
      <c r="B12" s="22">
        <f>COUNTIF(Defect_Log!$W$2:$W$37,"Y")</f>
        <v>1</v>
      </c>
      <c r="C12" s="2"/>
      <c r="D12" s="2"/>
      <c r="E12" s="2"/>
      <c r="F12" s="2"/>
      <c r="G12" s="2"/>
      <c r="H12" s="2"/>
    </row>
    <row r="13" spans="1:8" ht="15.75" x14ac:dyDescent="0.25">
      <c r="A13" s="21" t="s">
        <v>394</v>
      </c>
      <c r="B13" s="22">
        <f>COUNTIF(Defect_Log!$U$2:$U$37,"Product")</f>
        <v>30</v>
      </c>
      <c r="C13" s="2"/>
      <c r="D13" s="2"/>
      <c r="E13" s="2"/>
      <c r="F13" s="2"/>
      <c r="G13" s="2"/>
      <c r="H13" s="2"/>
    </row>
    <row r="14" spans="1:8" ht="30" customHeight="1" x14ac:dyDescent="0.25">
      <c r="A14" s="21" t="s">
        <v>395</v>
      </c>
      <c r="B14" s="22">
        <f>COUNTIF(Defect_Log!$U$2:$U$37,"Test fixture")+COUNTIF(Defect_Log!$U$2:$U$37,"Test tool")+COUNTIF(Defect_Log!$U$2:$U$37,"Environment")+COUNTIF(Defect_Log!$U$2:$U$37,"CI/Process")</f>
        <v>3</v>
      </c>
      <c r="C14" s="2"/>
      <c r="D14" s="2"/>
      <c r="E14" s="2"/>
      <c r="F14" s="2"/>
      <c r="G14" s="2"/>
      <c r="H14" s="2"/>
    </row>
    <row r="15" spans="1:8" ht="30" customHeight="1" x14ac:dyDescent="0.25">
      <c r="A15" s="21" t="s">
        <v>396</v>
      </c>
      <c r="B15" s="22">
        <f>COUNTIF(Defect_Log!$B$2:$B$37,23)</f>
        <v>11</v>
      </c>
      <c r="C15" s="2"/>
      <c r="D15" s="2"/>
      <c r="E15" s="2"/>
      <c r="F15" s="2"/>
      <c r="G15" s="2"/>
      <c r="H15" s="2"/>
    </row>
    <row r="16" spans="1:8" ht="15.75" x14ac:dyDescent="0.25">
      <c r="A16" s="21" t="s">
        <v>397</v>
      </c>
      <c r="B16" s="22" t="s">
        <v>39</v>
      </c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ht="60" customHeight="1" x14ac:dyDescent="0.25">
      <c r="A18" s="2" t="s">
        <v>398</v>
      </c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ht="15.75" customHeight="1" x14ac:dyDescent="0.25">
      <c r="A20" s="17" t="s">
        <v>399</v>
      </c>
      <c r="B20" s="18"/>
      <c r="C20" s="18"/>
      <c r="D20" s="18"/>
      <c r="E20" s="18"/>
      <c r="F20" s="18"/>
      <c r="G20" s="18"/>
      <c r="H20" s="18"/>
    </row>
    <row r="21" spans="1:8" x14ac:dyDescent="0.25">
      <c r="A21" s="20" t="s">
        <v>9</v>
      </c>
      <c r="B21" s="20" t="s">
        <v>400</v>
      </c>
      <c r="C21" s="20"/>
      <c r="D21" s="20"/>
      <c r="E21" s="20"/>
      <c r="F21" s="20"/>
      <c r="G21" s="20"/>
      <c r="H21" s="20"/>
    </row>
    <row r="22" spans="1:8" x14ac:dyDescent="0.25">
      <c r="A22" s="2" t="s">
        <v>33</v>
      </c>
      <c r="B22" s="2">
        <f>COUNTIF(Defect_Log!$J$2:$J$37,"Open")</f>
        <v>27</v>
      </c>
      <c r="C22" s="2"/>
      <c r="D22" s="2"/>
      <c r="E22" s="2"/>
      <c r="F22" s="2"/>
      <c r="G22" s="2"/>
      <c r="H22" s="2"/>
    </row>
    <row r="23" spans="1:8" x14ac:dyDescent="0.25">
      <c r="A23" s="2" t="s">
        <v>359</v>
      </c>
      <c r="B23" s="2">
        <f>COUNTIF(Defect_Log!$J$2:$J$37,"In Progress")</f>
        <v>0</v>
      </c>
      <c r="C23" s="2"/>
      <c r="D23" s="2"/>
      <c r="E23" s="2"/>
      <c r="F23" s="2"/>
      <c r="G23" s="2"/>
      <c r="H23" s="2"/>
    </row>
    <row r="24" spans="1:8" x14ac:dyDescent="0.25">
      <c r="A24" s="2" t="s">
        <v>361</v>
      </c>
      <c r="B24" s="2">
        <f>COUNTIF(Defect_Log!$J$2:$J$37,"Fixed")</f>
        <v>0</v>
      </c>
      <c r="C24" s="2"/>
      <c r="D24" s="2"/>
      <c r="E24" s="2"/>
      <c r="F24" s="2"/>
      <c r="G24" s="2"/>
      <c r="H24" s="2"/>
    </row>
    <row r="25" spans="1:8" x14ac:dyDescent="0.25">
      <c r="A25" s="2" t="s">
        <v>50</v>
      </c>
      <c r="B25" s="2">
        <f>COUNTIF(Defect_Log!$J$2:$J$37,"Retest")</f>
        <v>5</v>
      </c>
      <c r="C25" s="2"/>
      <c r="D25" s="2"/>
      <c r="E25" s="2"/>
      <c r="F25" s="2"/>
      <c r="G25" s="2"/>
      <c r="H25" s="2"/>
    </row>
    <row r="26" spans="1:8" x14ac:dyDescent="0.25">
      <c r="A26" s="2" t="s">
        <v>364</v>
      </c>
      <c r="B26" s="2">
        <f>COUNTIF(Defect_Log!$J$2:$J$37,"Closed")</f>
        <v>0</v>
      </c>
      <c r="C26" s="2"/>
      <c r="D26" s="2"/>
      <c r="E26" s="2"/>
      <c r="F26" s="2"/>
      <c r="G26" s="2"/>
      <c r="H26" s="2"/>
    </row>
    <row r="27" spans="1:8" x14ac:dyDescent="0.25">
      <c r="A27" s="2" t="s">
        <v>158</v>
      </c>
      <c r="B27" s="2">
        <f>COUNTIF(Defect_Log!$J$2:$J$37,"Needs verification")</f>
        <v>4</v>
      </c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ht="15.75" customHeight="1" x14ac:dyDescent="0.25">
      <c r="A29" s="17" t="s">
        <v>401</v>
      </c>
      <c r="B29" s="18"/>
      <c r="C29" s="18"/>
      <c r="D29" s="18"/>
      <c r="E29" s="18"/>
      <c r="F29" s="18"/>
      <c r="G29" s="18"/>
      <c r="H29" s="18"/>
    </row>
    <row r="30" spans="1:8" x14ac:dyDescent="0.25">
      <c r="A30" s="20" t="s">
        <v>6</v>
      </c>
      <c r="B30" s="20" t="s">
        <v>400</v>
      </c>
      <c r="C30" s="20"/>
      <c r="D30" s="20"/>
      <c r="E30" s="20"/>
      <c r="F30" s="20"/>
      <c r="G30" s="20"/>
      <c r="H30" s="20"/>
    </row>
    <row r="31" spans="1:8" x14ac:dyDescent="0.25">
      <c r="A31" s="2" t="s">
        <v>352</v>
      </c>
      <c r="B31" s="2">
        <f>COUNTIF(Defect_Log!$G$2:$G$37,"Critical")</f>
        <v>0</v>
      </c>
      <c r="C31" s="2"/>
      <c r="D31" s="2"/>
      <c r="E31" s="2"/>
      <c r="F31" s="2"/>
      <c r="G31" s="2"/>
      <c r="H31" s="2"/>
    </row>
    <row r="32" spans="1:8" x14ac:dyDescent="0.25">
      <c r="A32" s="2" t="s">
        <v>134</v>
      </c>
      <c r="B32" s="2">
        <f>COUNTIF(Defect_Log!$G$2:$G$37,"High")</f>
        <v>9</v>
      </c>
      <c r="C32" s="2"/>
      <c r="D32" s="2"/>
      <c r="E32" s="2"/>
      <c r="F32" s="2"/>
      <c r="G32" s="2"/>
      <c r="H32" s="2"/>
    </row>
    <row r="33" spans="1:8" x14ac:dyDescent="0.25">
      <c r="A33" s="2" t="s">
        <v>30</v>
      </c>
      <c r="B33" s="2">
        <f>COUNTIF(Defect_Log!$G$2:$G$37,"Medium")</f>
        <v>18</v>
      </c>
      <c r="C33" s="2"/>
      <c r="D33" s="2"/>
      <c r="E33" s="2"/>
      <c r="F33" s="2"/>
      <c r="G33" s="2"/>
      <c r="H33" s="2"/>
    </row>
    <row r="34" spans="1:8" x14ac:dyDescent="0.25">
      <c r="A34" s="2" t="s">
        <v>91</v>
      </c>
      <c r="B34" s="2">
        <f>COUNTIF(Defect_Log!$G$2:$G$37,"Low")</f>
        <v>9</v>
      </c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ht="15.75" customHeight="1" x14ac:dyDescent="0.25">
      <c r="A36" s="17" t="s">
        <v>402</v>
      </c>
      <c r="B36" s="18"/>
      <c r="C36" s="18"/>
      <c r="D36" s="18"/>
      <c r="E36" s="18"/>
      <c r="F36" s="18"/>
      <c r="G36" s="18"/>
      <c r="H36" s="18"/>
    </row>
    <row r="37" spans="1:8" x14ac:dyDescent="0.25">
      <c r="A37" s="20" t="s">
        <v>403</v>
      </c>
      <c r="B37" s="20" t="s">
        <v>400</v>
      </c>
      <c r="C37" s="20"/>
      <c r="D37" s="20"/>
      <c r="E37" s="20"/>
      <c r="F37" s="20"/>
      <c r="G37" s="20"/>
      <c r="H37" s="20"/>
    </row>
    <row r="38" spans="1:8" x14ac:dyDescent="0.25">
      <c r="A38" s="2" t="s">
        <v>43</v>
      </c>
      <c r="B38" s="2">
        <f>COUNTIF(Defect_Log!$U$2:$U$37,"Product")</f>
        <v>30</v>
      </c>
      <c r="C38" s="2"/>
      <c r="D38" s="2"/>
      <c r="E38" s="2"/>
      <c r="F38" s="2"/>
      <c r="G38" s="2"/>
      <c r="H38" s="2"/>
    </row>
    <row r="39" spans="1:8" x14ac:dyDescent="0.25">
      <c r="A39" s="2" t="s">
        <v>371</v>
      </c>
      <c r="B39" s="2">
        <f>COUNTIF(Defect_Log!$U$2:$U$37,"Test fixture")</f>
        <v>0</v>
      </c>
      <c r="C39" s="2"/>
      <c r="D39" s="2"/>
      <c r="E39" s="2"/>
      <c r="F39" s="2"/>
      <c r="G39" s="2"/>
      <c r="H39" s="2"/>
    </row>
    <row r="40" spans="1:8" x14ac:dyDescent="0.25">
      <c r="A40" s="2" t="s">
        <v>241</v>
      </c>
      <c r="B40" s="2">
        <f>COUNTIF(Defect_Log!$U$2:$U$37,"Test tool")</f>
        <v>1</v>
      </c>
      <c r="C40" s="2"/>
      <c r="D40" s="2"/>
      <c r="E40" s="2"/>
      <c r="F40" s="2"/>
      <c r="G40" s="2"/>
      <c r="H40" s="2"/>
    </row>
    <row r="41" spans="1:8" x14ac:dyDescent="0.25">
      <c r="A41" s="2" t="s">
        <v>277</v>
      </c>
      <c r="B41" s="2">
        <f>COUNTIF(Defect_Log!$U$2:$U$37,"Environment")</f>
        <v>2</v>
      </c>
      <c r="C41" s="2"/>
      <c r="D41" s="2"/>
      <c r="E41" s="2"/>
      <c r="F41" s="2"/>
      <c r="G41" s="2"/>
      <c r="H41" s="2"/>
    </row>
    <row r="42" spans="1:8" x14ac:dyDescent="0.25">
      <c r="A42" s="2" t="s">
        <v>375</v>
      </c>
      <c r="B42" s="2">
        <f>COUNTIF(Defect_Log!$U$2:$U$37,"CI/Process")</f>
        <v>0</v>
      </c>
      <c r="C42" s="2"/>
      <c r="D42" s="2"/>
      <c r="E42" s="2"/>
      <c r="F42" s="2"/>
      <c r="G42" s="2"/>
      <c r="H42" s="2"/>
    </row>
    <row r="43" spans="1:8" x14ac:dyDescent="0.25">
      <c r="A43" s="18" t="s">
        <v>90</v>
      </c>
      <c r="B43" s="18">
        <f>COUNTIF(Defect_Log!$U$2:$U$37,"Documentation")</f>
        <v>2</v>
      </c>
      <c r="C43" s="18"/>
      <c r="D43" s="18"/>
      <c r="E43" s="18"/>
      <c r="F43" s="18"/>
      <c r="G43" s="18"/>
      <c r="H43" s="18"/>
    </row>
    <row r="44" spans="1:8" x14ac:dyDescent="0.25">
      <c r="A44" s="20" t="s">
        <v>195</v>
      </c>
      <c r="B44" s="20">
        <f>COUNTIF(Defect_Log!$U$2:$U$37,"External")</f>
        <v>1</v>
      </c>
      <c r="C44" s="20"/>
      <c r="D44" s="20"/>
      <c r="E44" s="20"/>
      <c r="F44" s="20"/>
      <c r="G44" s="20"/>
      <c r="H44" s="20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ht="15.75" customHeight="1" x14ac:dyDescent="0.25">
      <c r="A46" s="4" t="s">
        <v>404</v>
      </c>
      <c r="B46" s="2"/>
      <c r="C46" s="2"/>
      <c r="D46" s="2"/>
      <c r="E46" s="2"/>
      <c r="F46" s="2"/>
      <c r="G46" s="2"/>
      <c r="H46" s="2"/>
    </row>
    <row r="47" spans="1:8" x14ac:dyDescent="0.25">
      <c r="A47" s="6" t="s">
        <v>5</v>
      </c>
      <c r="B47" s="6" t="s">
        <v>400</v>
      </c>
      <c r="C47" s="2"/>
      <c r="D47" s="2"/>
      <c r="E47" s="2"/>
      <c r="F47" s="2"/>
      <c r="G47" s="2"/>
      <c r="H47" s="2"/>
    </row>
    <row r="48" spans="1:8" x14ac:dyDescent="0.25">
      <c r="A48" s="2" t="s">
        <v>343</v>
      </c>
      <c r="B48" s="2">
        <f>COUNTIF(Defect_Log!$F$2:$F$37,"Test Automation")</f>
        <v>0</v>
      </c>
      <c r="C48" s="2"/>
      <c r="D48" s="2"/>
      <c r="E48" s="2"/>
      <c r="F48" s="2"/>
      <c r="G48" s="2"/>
      <c r="H48" s="2"/>
    </row>
    <row r="49" spans="1:8" x14ac:dyDescent="0.25">
      <c r="A49" s="2" t="s">
        <v>29</v>
      </c>
      <c r="B49" s="2">
        <f>COUNTIF(Defect_Log!$F$2:$F$37,"Frontend UI")</f>
        <v>8</v>
      </c>
      <c r="C49" s="2"/>
      <c r="D49" s="2"/>
      <c r="E49" s="2"/>
      <c r="F49" s="2"/>
      <c r="G49" s="2"/>
      <c r="H49" s="2"/>
    </row>
    <row r="50" spans="1:8" x14ac:dyDescent="0.25">
      <c r="A50" s="18" t="s">
        <v>341</v>
      </c>
      <c r="B50" s="18">
        <f>COUNTIF(Defect_Log!$F$2:$F$37,"Test Fixture")</f>
        <v>0</v>
      </c>
      <c r="C50" s="18"/>
      <c r="D50" s="18"/>
      <c r="E50" s="18"/>
      <c r="F50" s="18"/>
      <c r="G50" s="18"/>
      <c r="H50" s="18"/>
    </row>
    <row r="51" spans="1:8" x14ac:dyDescent="0.25">
      <c r="A51" s="20" t="s">
        <v>346</v>
      </c>
      <c r="B51" s="20">
        <f>COUNTIF(Defect_Log!$F$2:$F$37,"CI Workflow")</f>
        <v>0</v>
      </c>
      <c r="C51" s="20"/>
      <c r="D51" s="20"/>
      <c r="E51" s="20"/>
      <c r="F51" s="20"/>
      <c r="G51" s="20"/>
      <c r="H51" s="20"/>
    </row>
    <row r="52" spans="1:8" ht="47.25" customHeight="1" x14ac:dyDescent="0.25">
      <c r="A52" s="2" t="s">
        <v>157</v>
      </c>
      <c r="B52" s="2">
        <f>COUNTIF(Defect_Log!$F$2:$F$37,"AI Safety")</f>
        <v>5</v>
      </c>
      <c r="C52" s="2"/>
      <c r="D52" s="4" t="s">
        <v>405</v>
      </c>
      <c r="E52" s="2"/>
      <c r="F52" s="2"/>
      <c r="G52" s="2"/>
      <c r="H52" s="2"/>
    </row>
    <row r="53" spans="1:8" x14ac:dyDescent="0.25">
      <c r="A53" s="2" t="s">
        <v>167</v>
      </c>
      <c r="B53" s="2">
        <f>COUNTIF(Defect_Log!$F$2:$F$37,"Backend Logic")</f>
        <v>5</v>
      </c>
      <c r="C53" s="2"/>
      <c r="D53" s="6" t="s">
        <v>0</v>
      </c>
      <c r="E53" s="6" t="s">
        <v>6</v>
      </c>
      <c r="F53" s="6" t="s">
        <v>3</v>
      </c>
      <c r="G53" s="6" t="s">
        <v>381</v>
      </c>
      <c r="H53" s="6" t="s">
        <v>406</v>
      </c>
    </row>
    <row r="54" spans="1:8" ht="45" customHeight="1" x14ac:dyDescent="0.25">
      <c r="A54" s="2" t="s">
        <v>133</v>
      </c>
      <c r="B54" s="2">
        <f>COUNTIF(Defect_Log!$F$2:$F$37,"Coding Problem")</f>
        <v>3</v>
      </c>
      <c r="C54" s="2"/>
      <c r="D54" s="1" t="str">
        <f>IF(Defect_Log!A13="","",Defect_Log!A13)</f>
        <v>DEF-012</v>
      </c>
      <c r="E54" s="1" t="str">
        <f>IF(Defect_Log!G13="","",Defect_Log!G13)</f>
        <v>High</v>
      </c>
      <c r="F54" s="1" t="str">
        <f>IF(Defect_Log!D13="","",Defect_Log!D13)</f>
        <v>Bộ test bài số nguyên tố để lọt lời giải sai</v>
      </c>
      <c r="G54" s="1" t="str">
        <f>IF(Defect_Log!O13="","",Defect_Log!O13)</f>
        <v>BE</v>
      </c>
      <c r="H54" s="1" t="str">
        <f>IF(Defect_Log!X13="","",Defect_Log!X13)</f>
        <v>PA-04</v>
      </c>
    </row>
    <row r="55" spans="1:8" ht="30" customHeight="1" x14ac:dyDescent="0.25">
      <c r="A55" s="2" t="s">
        <v>277</v>
      </c>
      <c r="B55" s="2">
        <f>COUNTIF(Defect_Log!$F$2:$F$37,"Environment")</f>
        <v>2</v>
      </c>
      <c r="C55" s="2"/>
      <c r="D55" s="1" t="str">
        <f>IF(Defect_Log!A20="","",Defect_Log!A20)</f>
        <v>DEF-019</v>
      </c>
      <c r="E55" s="1" t="str">
        <f>IF(Defect_Log!G20="","",Defect_Log!G20)</f>
        <v>High</v>
      </c>
      <c r="F55" s="1" t="str">
        <f>IF(Defect_Log!D20="","",Defect_Log!D20)</f>
        <v>Mã phim không tồn tại trả 500</v>
      </c>
      <c r="G55" s="1" t="str">
        <f>IF(Defect_Log!O20="","",Defect_Log!O20)</f>
        <v>Ngoài nhóm</v>
      </c>
      <c r="H55" s="1" t="str">
        <f>IF(Defect_Log!X20="","",Defect_Log!X20)</f>
        <v/>
      </c>
    </row>
    <row r="56" spans="1:8" ht="60" customHeight="1" x14ac:dyDescent="0.25">
      <c r="A56" s="2" t="s">
        <v>256</v>
      </c>
      <c r="B56" s="2">
        <f>COUNTIF(Defect_Log!$F$2:$F$37,"Data Validation")</f>
        <v>3</v>
      </c>
      <c r="C56" s="2"/>
      <c r="D56" s="1" t="str">
        <f>IF(Defect_Log!A22="","",Defect_Log!A22)</f>
        <v>DEF-021</v>
      </c>
      <c r="E56" s="1" t="str">
        <f>IF(Defect_Log!G22="","",Defect_Log!G22)</f>
        <v>High</v>
      </c>
      <c r="F56" s="1" t="str">
        <f>IF(Defect_Log!D22="","",Defect_Log!D22)</f>
        <v>AI Coach không nhận diện yêu cầu không phù hợp với trẻ</v>
      </c>
      <c r="G56" s="1" t="str">
        <f>IF(Defect_Log!O22="","",Defect_Log!O22)</f>
        <v>BE</v>
      </c>
      <c r="H56" s="1" t="str">
        <f>IF(Defect_Log!X22="","",Defect_Log!X22)</f>
        <v>PA-05</v>
      </c>
    </row>
    <row r="57" spans="1:8" ht="45" customHeight="1" x14ac:dyDescent="0.25">
      <c r="A57" s="18" t="s">
        <v>286</v>
      </c>
      <c r="B57" s="18">
        <f>COUNTIF(Defect_Log!$F$2:$F$37,"Authentication")</f>
        <v>1</v>
      </c>
      <c r="C57" s="18"/>
      <c r="D57" s="19" t="str">
        <f>IF(Defect_Log!A24="","",Defect_Log!A24)</f>
        <v>DEF-023</v>
      </c>
      <c r="E57" s="19" t="str">
        <f>IF(Defect_Log!G24="","",Defect_Log!G24)</f>
        <v>High</v>
      </c>
      <c r="F57" s="19" t="str">
        <f>IF(Defect_Log!D24="","",Defect_Log!D24)</f>
        <v>AI Coach nhắc lại traceback có đường dẫn nội bộ</v>
      </c>
      <c r="G57" s="19" t="str">
        <f>IF(Defect_Log!O24="","",Defect_Log!O24)</f>
        <v>BE</v>
      </c>
      <c r="H57" s="19" t="str">
        <f>IF(Defect_Log!X24="","",Defect_Log!X24)</f>
        <v>PA-06</v>
      </c>
    </row>
    <row r="58" spans="1:8" ht="45" customHeight="1" x14ac:dyDescent="0.25">
      <c r="A58" s="20" t="s">
        <v>90</v>
      </c>
      <c r="B58" s="20">
        <f>COUNTIF(Defect_Log!$F$2:$F$37,"Documentation")</f>
        <v>2</v>
      </c>
      <c r="C58" s="20"/>
      <c r="D58" s="9" t="str">
        <f>IF(Defect_Log!A27="","",Defect_Log!A27)</f>
        <v>DEF-026</v>
      </c>
      <c r="E58" s="9" t="str">
        <f>IF(Defect_Log!G27="","",Defect_Log!G27)</f>
        <v>High</v>
      </c>
      <c r="F58" s="9" t="str">
        <f>IF(Defect_Log!D27="","",Defect_Log!D27)</f>
        <v>Gửi object thay cho chuỗi làm API trả 500</v>
      </c>
      <c r="G58" s="9" t="str">
        <f>IF(Defect_Log!O27="","",Defect_Log!O27)</f>
        <v>BE</v>
      </c>
      <c r="H58" s="9" t="str">
        <f>IF(Defect_Log!X27="","",Defect_Log!X27)</f>
        <v>PA-01</v>
      </c>
    </row>
    <row r="59" spans="1:8" ht="45" customHeight="1" x14ac:dyDescent="0.25">
      <c r="A59" s="2" t="s">
        <v>118</v>
      </c>
      <c r="B59" s="2">
        <f>COUNTIF(Defect_Log!$F$2:$F$37,"Quiz")</f>
        <v>2</v>
      </c>
      <c r="C59" s="2"/>
      <c r="D59" s="1" t="str">
        <f>IF(Defect_Log!A35="","",Defect_Log!A35)</f>
        <v>DEF-034</v>
      </c>
      <c r="E59" s="1" t="str">
        <f>IF(Defect_Log!G35="","",Defect_Log!G35)</f>
        <v>High</v>
      </c>
      <c r="F59" s="1" t="str">
        <f>IF(Defect_Log!D35="","",Defect_Log!D35)</f>
        <v>Bài do giáo viên soạn không thể đạt: test ẩn chạy với input rỗng</v>
      </c>
      <c r="G59" s="1" t="str">
        <f>IF(Defect_Log!O35="","",Defect_Log!O35)</f>
        <v>FE + BE</v>
      </c>
      <c r="H59" s="1" t="str">
        <f>IF(Defect_Log!X35="","",Defect_Log!X35)</f>
        <v>PA-13</v>
      </c>
    </row>
    <row r="60" spans="1:8" x14ac:dyDescent="0.25">
      <c r="A60" s="2" t="s">
        <v>308</v>
      </c>
      <c r="B60" s="2">
        <f>COUNTIF(Defect_Log!$F$2:$F$37,"Frontend Logic")</f>
        <v>1</v>
      </c>
      <c r="C60" s="2"/>
      <c r="D60" s="2"/>
      <c r="E60" s="2"/>
      <c r="F60" s="2"/>
      <c r="G60" s="2"/>
      <c r="H60" s="2"/>
    </row>
    <row r="61" spans="1:8" x14ac:dyDescent="0.25">
      <c r="A61" s="2" t="s">
        <v>105</v>
      </c>
      <c r="B61" s="2">
        <f>COUNTIF(Defect_Log!$F$2:$F$37,"Content")</f>
        <v>1</v>
      </c>
      <c r="C61" s="2"/>
      <c r="D61" s="2"/>
      <c r="E61" s="2"/>
      <c r="F61" s="2"/>
      <c r="G61" s="2"/>
      <c r="H61" s="2"/>
    </row>
    <row r="62" spans="1:8" x14ac:dyDescent="0.25">
      <c r="A62" s="2" t="s">
        <v>188</v>
      </c>
      <c r="B62" s="2">
        <f>COUNTIF(Defect_Log!$F$2:$F$37,"API Contract")</f>
        <v>1</v>
      </c>
      <c r="C62" s="2"/>
      <c r="D62" s="2"/>
      <c r="E62" s="2"/>
      <c r="F62" s="2"/>
      <c r="G62" s="2"/>
      <c r="H62" s="2"/>
    </row>
    <row r="63" spans="1:8" x14ac:dyDescent="0.25">
      <c r="A63" s="2" t="s">
        <v>201</v>
      </c>
      <c r="B63" s="2">
        <f>COUNTIF(Defect_Log!$F$2:$F$37,"RAG Retrieval")</f>
        <v>1</v>
      </c>
      <c r="C63" s="2"/>
      <c r="D63" s="2"/>
      <c r="E63" s="2"/>
      <c r="F63" s="2"/>
      <c r="G63" s="2"/>
      <c r="H63" s="2"/>
    </row>
    <row r="64" spans="1:8" x14ac:dyDescent="0.25">
      <c r="A64" s="18" t="s">
        <v>236</v>
      </c>
      <c r="B64" s="18">
        <f>COUNTIF(Defect_Log!$F$2:$F$37,"Evaluation")</f>
        <v>1</v>
      </c>
      <c r="C64" s="18"/>
      <c r="D64" s="18"/>
      <c r="E64" s="18"/>
      <c r="F64" s="18"/>
      <c r="G64" s="18"/>
      <c r="H64" s="18"/>
    </row>
    <row r="65" spans="1:8" x14ac:dyDescent="0.25">
      <c r="A65" s="20" t="s">
        <v>348</v>
      </c>
      <c r="B65" s="20">
        <f>COUNTIF(Defect_Log!$F$2:$F$37,"Encoding")</f>
        <v>0</v>
      </c>
      <c r="C65" s="20"/>
      <c r="D65" s="20"/>
      <c r="E65" s="20"/>
      <c r="F65" s="20"/>
      <c r="G65" s="20"/>
      <c r="H65" s="20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ht="15.75" customHeight="1" x14ac:dyDescent="0.25">
      <c r="A67" s="4" t="s">
        <v>407</v>
      </c>
      <c r="B67" s="2"/>
      <c r="C67" s="2"/>
      <c r="D67" s="2"/>
      <c r="E67" s="2"/>
      <c r="F67" s="2"/>
      <c r="G67" s="2"/>
      <c r="H67" s="2"/>
    </row>
    <row r="68" spans="1:8" x14ac:dyDescent="0.25">
      <c r="A68" s="6" t="s">
        <v>408</v>
      </c>
      <c r="B68" s="6" t="s">
        <v>400</v>
      </c>
      <c r="C68" s="2"/>
      <c r="D68" s="2"/>
      <c r="E68" s="2"/>
      <c r="F68" s="2"/>
      <c r="G68" s="2"/>
      <c r="H68" s="2"/>
    </row>
    <row r="69" spans="1:8" x14ac:dyDescent="0.25">
      <c r="A69" s="2" t="s">
        <v>38</v>
      </c>
      <c r="B69" s="2">
        <f>COUNTIF(Defect_Log!$O$2:$O$37,"FE")</f>
        <v>8</v>
      </c>
      <c r="C69" s="2"/>
      <c r="D69" s="2"/>
      <c r="E69" s="2"/>
      <c r="F69" s="2"/>
      <c r="G69" s="2"/>
      <c r="H69" s="2"/>
    </row>
    <row r="70" spans="1:8" x14ac:dyDescent="0.25">
      <c r="A70" s="2" t="s">
        <v>109</v>
      </c>
      <c r="B70" s="2">
        <f>COUNTIF(Defect_Log!$O$2:$O$37,"BE")</f>
        <v>22</v>
      </c>
      <c r="C70" s="2"/>
      <c r="D70" s="2"/>
      <c r="E70" s="2"/>
      <c r="F70" s="2"/>
      <c r="G70" s="2"/>
      <c r="H70" s="2"/>
    </row>
    <row r="71" spans="1:8" x14ac:dyDescent="0.25">
      <c r="A71" s="18" t="s">
        <v>312</v>
      </c>
      <c r="B71" s="18">
        <f>COUNTIF(Defect_Log!$O$2:$O$37,"FE + BE")</f>
        <v>1</v>
      </c>
      <c r="C71" s="18"/>
      <c r="D71" s="18"/>
      <c r="E71" s="18"/>
      <c r="F71" s="18"/>
      <c r="G71" s="18"/>
      <c r="H71" s="18"/>
    </row>
    <row r="72" spans="1:8" x14ac:dyDescent="0.25">
      <c r="A72" s="20" t="s">
        <v>204</v>
      </c>
      <c r="B72" s="20">
        <f>COUNTIF(Defect_Log!$O$2:$O$37,"Data-AI")</f>
        <v>1</v>
      </c>
      <c r="C72" s="20"/>
      <c r="D72" s="20"/>
      <c r="E72" s="20"/>
      <c r="F72" s="20"/>
      <c r="G72" s="20"/>
      <c r="H72" s="20"/>
    </row>
    <row r="73" spans="1:8" x14ac:dyDescent="0.25">
      <c r="A73" s="2" t="s">
        <v>97</v>
      </c>
      <c r="B73" s="2">
        <f>COUNTIF(Defect_Log!$O$2:$O$37,"QA")</f>
        <v>3</v>
      </c>
      <c r="C73" s="2"/>
      <c r="D73" s="2"/>
      <c r="E73" s="2"/>
      <c r="F73" s="2"/>
      <c r="G73" s="2"/>
      <c r="H73" s="2"/>
    </row>
    <row r="74" spans="1:8" x14ac:dyDescent="0.25">
      <c r="A74" s="2" t="s">
        <v>192</v>
      </c>
      <c r="B74" s="2">
        <f>COUNTIF(Defect_Log!$O$2:$O$37,"Ngoài nhóm")</f>
        <v>1</v>
      </c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ht="15.75" customHeight="1" x14ac:dyDescent="0.25">
      <c r="A76" s="4" t="s">
        <v>409</v>
      </c>
      <c r="B76" s="2"/>
      <c r="C76" s="2"/>
      <c r="D76" s="2"/>
      <c r="E76" s="2"/>
      <c r="F76" s="2"/>
      <c r="G76" s="2"/>
      <c r="H76" s="2"/>
    </row>
    <row r="77" spans="1:8" x14ac:dyDescent="0.25">
      <c r="A77" s="6" t="s">
        <v>410</v>
      </c>
      <c r="B77" s="6" t="s">
        <v>400</v>
      </c>
      <c r="C77" s="2"/>
      <c r="D77" s="2"/>
      <c r="E77" s="2"/>
      <c r="F77" s="2"/>
      <c r="G77" s="2"/>
      <c r="H77" s="2"/>
    </row>
    <row r="78" spans="1:8" x14ac:dyDescent="0.25">
      <c r="A78" s="18" t="s">
        <v>411</v>
      </c>
      <c r="B78" s="18">
        <f>COUNTIF(Defect_Log!$B$2:$B$37,7)</f>
        <v>0</v>
      </c>
      <c r="C78" s="18"/>
      <c r="D78" s="18"/>
      <c r="E78" s="18"/>
      <c r="F78" s="18"/>
      <c r="G78" s="18"/>
      <c r="H78" s="18"/>
    </row>
    <row r="79" spans="1:8" x14ac:dyDescent="0.25">
      <c r="A79" s="20" t="s">
        <v>412</v>
      </c>
      <c r="B79" s="20">
        <f>COUNTIF(Defect_Log!$B$2:$B$37,8)</f>
        <v>0</v>
      </c>
      <c r="C79" s="20"/>
      <c r="D79" s="20"/>
      <c r="E79" s="20"/>
      <c r="F79" s="20"/>
      <c r="G79" s="20"/>
      <c r="H79" s="20"/>
    </row>
    <row r="80" spans="1:8" x14ac:dyDescent="0.25">
      <c r="A80" s="2" t="s">
        <v>413</v>
      </c>
      <c r="B80" s="2">
        <f>COUNTIF(Defect_Log!$B$2:$B$37,9)</f>
        <v>7</v>
      </c>
      <c r="C80" s="2"/>
      <c r="D80" s="2"/>
      <c r="E80" s="2"/>
      <c r="F80" s="2"/>
      <c r="G80" s="2"/>
      <c r="H80" s="2"/>
    </row>
    <row r="81" spans="1:8" x14ac:dyDescent="0.25">
      <c r="A81" s="2" t="s">
        <v>414</v>
      </c>
      <c r="B81" s="2">
        <f>COUNTIF(Defect_Log!$B$2:$B$37,10)</f>
        <v>1</v>
      </c>
      <c r="C81" s="2"/>
      <c r="D81" s="2"/>
      <c r="E81" s="2"/>
      <c r="F81" s="2"/>
      <c r="G81" s="2"/>
      <c r="H81" s="2"/>
    </row>
    <row r="82" spans="1:8" x14ac:dyDescent="0.25">
      <c r="A82" s="2" t="s">
        <v>415</v>
      </c>
      <c r="B82" s="2">
        <f>COUNTIF(Defect_Log!$B$2:$B$37,11)</f>
        <v>1</v>
      </c>
      <c r="C82" s="2"/>
      <c r="D82" s="2"/>
      <c r="E82" s="2"/>
      <c r="F82" s="2"/>
      <c r="G82" s="2"/>
      <c r="H82" s="2"/>
    </row>
    <row r="83" spans="1:8" x14ac:dyDescent="0.25">
      <c r="A83" s="2" t="s">
        <v>416</v>
      </c>
      <c r="B83" s="2">
        <f>COUNTIF(Defect_Log!$B$2:$B$37,12)</f>
        <v>2</v>
      </c>
      <c r="C83" s="2"/>
      <c r="D83" s="2"/>
      <c r="E83" s="2"/>
      <c r="F83" s="2"/>
      <c r="G83" s="2"/>
      <c r="H83" s="2"/>
    </row>
    <row r="84" spans="1:8" x14ac:dyDescent="0.25">
      <c r="A84" s="2" t="s">
        <v>417</v>
      </c>
      <c r="B84" s="2">
        <f>COUNTIF(Defect_Log!$B$2:$B$37,13)</f>
        <v>7</v>
      </c>
      <c r="C84" s="2"/>
      <c r="D84" s="2"/>
      <c r="E84" s="2"/>
      <c r="F84" s="2"/>
      <c r="G84" s="2"/>
      <c r="H84" s="2"/>
    </row>
    <row r="85" spans="1:8" x14ac:dyDescent="0.25">
      <c r="A85" s="18" t="s">
        <v>418</v>
      </c>
      <c r="B85" s="18">
        <f>COUNTIF(Defect_Log!$B$2:$B$37,14)</f>
        <v>1</v>
      </c>
      <c r="C85" s="18"/>
      <c r="D85" s="18"/>
      <c r="E85" s="18"/>
      <c r="F85" s="18"/>
      <c r="G85" s="18"/>
      <c r="H85" s="18"/>
    </row>
    <row r="86" spans="1:8" x14ac:dyDescent="0.25">
      <c r="A86" s="20" t="s">
        <v>419</v>
      </c>
      <c r="B86" s="20">
        <f>COUNTIF(Defect_Log!$B$2:$B$37,15)</f>
        <v>0</v>
      </c>
      <c r="C86" s="20"/>
      <c r="D86" s="20"/>
      <c r="E86" s="20"/>
      <c r="F86" s="20"/>
      <c r="G86" s="20"/>
      <c r="H86" s="20"/>
    </row>
    <row r="87" spans="1:8" x14ac:dyDescent="0.25">
      <c r="A87" s="2" t="s">
        <v>420</v>
      </c>
      <c r="B87" s="2">
        <f>COUNTIF(Defect_Log!$B$2:$B$37,18)</f>
        <v>1</v>
      </c>
      <c r="C87" s="2"/>
      <c r="D87" s="2"/>
      <c r="E87" s="2"/>
      <c r="F87" s="2"/>
      <c r="G87" s="2"/>
      <c r="H87" s="2"/>
    </row>
    <row r="88" spans="1:8" x14ac:dyDescent="0.25">
      <c r="A88" s="2" t="s">
        <v>421</v>
      </c>
      <c r="B88" s="2">
        <f>COUNTIF(Defect_Log!$B$2:$B$37,19)</f>
        <v>3</v>
      </c>
      <c r="C88" s="2"/>
      <c r="D88" s="2"/>
      <c r="E88" s="2"/>
      <c r="F88" s="2"/>
      <c r="G88" s="2"/>
      <c r="H88" s="2"/>
    </row>
    <row r="89" spans="1:8" x14ac:dyDescent="0.25">
      <c r="A89" s="2" t="s">
        <v>422</v>
      </c>
      <c r="B89" s="2">
        <f>COUNTIF(Defect_Log!$B$2:$B$37,20)</f>
        <v>1</v>
      </c>
      <c r="C89" s="2"/>
      <c r="D89" s="2"/>
      <c r="E89" s="2"/>
      <c r="F89" s="2"/>
      <c r="G89" s="2"/>
      <c r="H89" s="2"/>
    </row>
    <row r="90" spans="1:8" x14ac:dyDescent="0.25">
      <c r="A90" s="2" t="s">
        <v>423</v>
      </c>
      <c r="B90" s="2">
        <f>COUNTIF(Defect_Log!$B$2:$B$37,21)</f>
        <v>0</v>
      </c>
      <c r="C90" s="2"/>
      <c r="D90" s="2"/>
      <c r="E90" s="2"/>
      <c r="F90" s="2"/>
      <c r="G90" s="2"/>
      <c r="H90" s="2"/>
    </row>
    <row r="91" spans="1:8" ht="45" customHeight="1" x14ac:dyDescent="0.25">
      <c r="A91" s="2" t="s">
        <v>424</v>
      </c>
      <c r="B91" s="2">
        <f>COUNTIF(Defect_Log!$B$2:$B$37,22)</f>
        <v>1</v>
      </c>
      <c r="C91" s="2"/>
      <c r="D91" s="2"/>
      <c r="E91" s="2"/>
      <c r="F91" s="2"/>
      <c r="G91" s="2"/>
      <c r="H91" s="2"/>
    </row>
    <row r="92" spans="1:8" x14ac:dyDescent="0.25">
      <c r="A92" s="2" t="s">
        <v>425</v>
      </c>
      <c r="B92" s="2">
        <f>COUNTIF(Defect_Log!$B$2:$B$37,23)</f>
        <v>11</v>
      </c>
      <c r="C92" s="2"/>
      <c r="D92" s="2"/>
      <c r="E92" s="2"/>
      <c r="F92" s="2"/>
      <c r="G92" s="2"/>
      <c r="H92" s="2"/>
    </row>
  </sheetData>
  <conditionalFormatting sqref="A1:H92">
    <cfRule type="expression" dxfId="4" priority="1">
      <formula>B5="FAIL"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/>
  </sheetViews>
  <sheetFormatPr defaultRowHeight="15" x14ac:dyDescent="0.25"/>
  <cols>
    <col min="1" max="1" width="43" customWidth="1"/>
    <col min="2" max="2" width="11" customWidth="1"/>
    <col min="3" max="4" width="13" customWidth="1"/>
    <col min="5" max="6" width="15" customWidth="1"/>
  </cols>
  <sheetData>
    <row r="1" spans="1:6" ht="19.5" customHeight="1" x14ac:dyDescent="0.35">
      <c r="A1" s="8" t="s">
        <v>426</v>
      </c>
      <c r="B1" s="8"/>
      <c r="C1" s="8"/>
      <c r="D1" s="8"/>
      <c r="E1" s="8"/>
      <c r="F1" s="8"/>
    </row>
    <row r="2" spans="1:6" ht="45" customHeight="1" x14ac:dyDescent="0.25">
      <c r="A2" s="23" t="s">
        <v>427</v>
      </c>
      <c r="B2" s="23"/>
      <c r="C2" s="23"/>
      <c r="D2" s="23"/>
      <c r="E2" s="23"/>
      <c r="F2" s="23"/>
    </row>
    <row r="4" spans="1:6" ht="30" x14ac:dyDescent="0.25">
      <c r="A4" s="24" t="s">
        <v>11</v>
      </c>
      <c r="B4" s="24" t="s">
        <v>428</v>
      </c>
      <c r="C4" s="24" t="s">
        <v>429</v>
      </c>
      <c r="D4" s="24" t="s">
        <v>430</v>
      </c>
      <c r="E4" s="24" t="s">
        <v>431</v>
      </c>
      <c r="F4" s="24" t="s">
        <v>432</v>
      </c>
    </row>
    <row r="5" spans="1:6" ht="30" x14ac:dyDescent="0.25">
      <c r="A5" s="1" t="s">
        <v>35</v>
      </c>
      <c r="B5" s="1">
        <f>COUNTIF(Defect_Log!$L$2:$L$37,A5)</f>
        <v>7</v>
      </c>
      <c r="C5" s="25">
        <f t="shared" ref="C5:C17" si="0">B5/$B$18</f>
        <v>0.19444444444444445</v>
      </c>
      <c r="D5" s="25">
        <f>SUM($B$5:B5)/$B$18</f>
        <v>0.19444444444444445</v>
      </c>
      <c r="E5" s="1">
        <f>COUNTIFS(Defect_Log!$L$2:$L$37,A5,Defect_Log!$J$2:$J$37,"Open")</f>
        <v>5</v>
      </c>
      <c r="F5" s="1" t="s">
        <v>433</v>
      </c>
    </row>
    <row r="6" spans="1:6" ht="30" x14ac:dyDescent="0.25">
      <c r="A6" s="1" t="s">
        <v>107</v>
      </c>
      <c r="B6" s="1">
        <f>COUNTIF(Defect_Log!$L$2:$L$37,A6)</f>
        <v>6</v>
      </c>
      <c r="C6" s="25">
        <f t="shared" si="0"/>
        <v>0.16666666666666666</v>
      </c>
      <c r="D6" s="25">
        <f>SUM($B$5:B6)/$B$18</f>
        <v>0.3611111111111111</v>
      </c>
      <c r="E6" s="1">
        <f>COUNTIFS(Defect_Log!$L$2:$L$37,A6,Defect_Log!$J$2:$J$37,"Open")</f>
        <v>6</v>
      </c>
      <c r="F6" s="1" t="s">
        <v>433</v>
      </c>
    </row>
    <row r="7" spans="1:6" ht="30" x14ac:dyDescent="0.25">
      <c r="A7" s="1" t="s">
        <v>160</v>
      </c>
      <c r="B7" s="1">
        <f>COUNTIF(Defect_Log!$L$2:$L$37,A7)</f>
        <v>6</v>
      </c>
      <c r="C7" s="25">
        <f t="shared" si="0"/>
        <v>0.16666666666666666</v>
      </c>
      <c r="D7" s="25">
        <f>SUM($B$5:B7)/$B$18</f>
        <v>0.52777777777777779</v>
      </c>
      <c r="E7" s="1">
        <f>COUNTIFS(Defect_Log!$L$2:$L$37,A7,Defect_Log!$J$2:$J$37,"Open")</f>
        <v>3</v>
      </c>
      <c r="F7" s="1" t="s">
        <v>433</v>
      </c>
    </row>
    <row r="8" spans="1:6" x14ac:dyDescent="0.25">
      <c r="A8" s="1" t="s">
        <v>169</v>
      </c>
      <c r="B8" s="1">
        <f>COUNTIF(Defect_Log!$L$2:$L$37,A8)</f>
        <v>5</v>
      </c>
      <c r="C8" s="25">
        <f t="shared" si="0"/>
        <v>0.1388888888888889</v>
      </c>
      <c r="D8" s="25">
        <f>SUM($B$5:B8)/$B$18</f>
        <v>0.66666666666666663</v>
      </c>
      <c r="E8" s="1">
        <f>COUNTIFS(Defect_Log!$L$2:$L$37,A8,Defect_Log!$J$2:$J$37,"Open")</f>
        <v>3</v>
      </c>
      <c r="F8" s="1"/>
    </row>
    <row r="9" spans="1:6" ht="30" customHeight="1" x14ac:dyDescent="0.25">
      <c r="A9" s="1" t="s">
        <v>190</v>
      </c>
      <c r="B9" s="1">
        <f>COUNTIF(Defect_Log!$L$2:$L$37,A9)</f>
        <v>4</v>
      </c>
      <c r="C9" s="25">
        <f t="shared" si="0"/>
        <v>0.1111111111111111</v>
      </c>
      <c r="D9" s="25">
        <f>SUM($B$5:B9)/$B$18</f>
        <v>0.77777777777777779</v>
      </c>
      <c r="E9" s="1">
        <f>COUNTIFS(Defect_Log!$L$2:$L$37,A9,Defect_Log!$J$2:$J$37,"Open")</f>
        <v>4</v>
      </c>
      <c r="F9" s="1" t="s">
        <v>433</v>
      </c>
    </row>
    <row r="10" spans="1:6" ht="30" customHeight="1" x14ac:dyDescent="0.25">
      <c r="A10" s="1" t="s">
        <v>279</v>
      </c>
      <c r="B10" s="1">
        <f>COUNTIF(Defect_Log!$L$2:$L$37,A10)</f>
        <v>3</v>
      </c>
      <c r="C10" s="25">
        <f t="shared" si="0"/>
        <v>8.3333333333333329E-2</v>
      </c>
      <c r="D10" s="25">
        <f>SUM($B$5:B10)/$B$18</f>
        <v>0.86111111111111116</v>
      </c>
      <c r="E10" s="1">
        <f>COUNTIFS(Defect_Log!$L$2:$L$37,A10,Defect_Log!$J$2:$J$37,"Open")</f>
        <v>2</v>
      </c>
      <c r="F10" s="1"/>
    </row>
    <row r="11" spans="1:6" ht="30" customHeight="1" x14ac:dyDescent="0.25">
      <c r="A11" s="1" t="s">
        <v>94</v>
      </c>
      <c r="B11" s="1">
        <f>COUNTIF(Defect_Log!$L$2:$L$37,A11)</f>
        <v>2</v>
      </c>
      <c r="C11" s="25">
        <f t="shared" si="0"/>
        <v>5.5555555555555552E-2</v>
      </c>
      <c r="D11" s="25">
        <f>SUM($B$5:B11)/$B$18</f>
        <v>0.91666666666666663</v>
      </c>
      <c r="E11" s="1">
        <f>COUNTIFS(Defect_Log!$L$2:$L$37,A11,Defect_Log!$J$2:$J$37,"Open")</f>
        <v>2</v>
      </c>
      <c r="F11" s="1"/>
    </row>
    <row r="12" spans="1:6" x14ac:dyDescent="0.25">
      <c r="A12" s="1" t="s">
        <v>215</v>
      </c>
      <c r="B12" s="1">
        <f>COUNTIF(Defect_Log!$L$2:$L$37,A12)</f>
        <v>1</v>
      </c>
      <c r="C12" s="25">
        <f t="shared" si="0"/>
        <v>2.7777777777777776E-2</v>
      </c>
      <c r="D12" s="25">
        <f>SUM($B$5:B12)/$B$18</f>
        <v>0.94444444444444442</v>
      </c>
      <c r="E12" s="1">
        <f>COUNTIFS(Defect_Log!$L$2:$L$37,A12,Defect_Log!$J$2:$J$37,"Open")</f>
        <v>1</v>
      </c>
      <c r="F12" s="1" t="s">
        <v>433</v>
      </c>
    </row>
    <row r="13" spans="1:6" ht="30" customHeight="1" x14ac:dyDescent="0.25">
      <c r="A13" s="1" t="s">
        <v>310</v>
      </c>
      <c r="B13" s="1">
        <f>COUNTIF(Defect_Log!$L$2:$L$37,A13)</f>
        <v>1</v>
      </c>
      <c r="C13" s="25">
        <f t="shared" si="0"/>
        <v>2.7777777777777776E-2</v>
      </c>
      <c r="D13" s="25">
        <f>SUM($B$5:B13)/$B$18</f>
        <v>0.97222222222222221</v>
      </c>
      <c r="E13" s="1">
        <f>COUNTIFS(Defect_Log!$L$2:$L$37,A13,Defect_Log!$J$2:$J$37,"Open")</f>
        <v>1</v>
      </c>
      <c r="F13" s="1"/>
    </row>
    <row r="14" spans="1:6" ht="30" customHeight="1" x14ac:dyDescent="0.25">
      <c r="A14" s="1" t="s">
        <v>238</v>
      </c>
      <c r="B14" s="1">
        <f>COUNTIF(Defect_Log!$L$2:$L$37,A14)</f>
        <v>1</v>
      </c>
      <c r="C14" s="25">
        <f t="shared" si="0"/>
        <v>2.7777777777777776E-2</v>
      </c>
      <c r="D14" s="25">
        <f>SUM($B$5:B14)/$B$18</f>
        <v>1</v>
      </c>
      <c r="E14" s="1">
        <f>COUNTIFS(Defect_Log!$L$2:$L$37,A14,Defect_Log!$J$2:$J$37,"Open")</f>
        <v>0</v>
      </c>
      <c r="F14" s="1"/>
    </row>
    <row r="15" spans="1:6" ht="30" x14ac:dyDescent="0.25">
      <c r="A15" s="1" t="s">
        <v>367</v>
      </c>
      <c r="B15" s="1">
        <f>COUNTIF(Defect_Log!$L$2:$L$37,A15)</f>
        <v>0</v>
      </c>
      <c r="C15" s="25">
        <f t="shared" si="0"/>
        <v>0</v>
      </c>
      <c r="D15" s="25">
        <f>SUM($B$5:B15)/$B$18</f>
        <v>1</v>
      </c>
      <c r="E15" s="1">
        <f>COUNTIFS(Defect_Log!$L$2:$L$37,A15,Defect_Log!$J$2:$J$37,"Open")</f>
        <v>0</v>
      </c>
      <c r="F15" s="1"/>
    </row>
    <row r="16" spans="1:6" ht="30" x14ac:dyDescent="0.25">
      <c r="A16" s="1" t="s">
        <v>368</v>
      </c>
      <c r="B16" s="1">
        <f>COUNTIF(Defect_Log!$L$2:$L$37,A16)</f>
        <v>0</v>
      </c>
      <c r="C16" s="25">
        <f t="shared" si="0"/>
        <v>0</v>
      </c>
      <c r="D16" s="25">
        <f>SUM($B$5:B16)/$B$18</f>
        <v>1</v>
      </c>
      <c r="E16" s="1">
        <f>COUNTIFS(Defect_Log!$L$2:$L$37,A16,Defect_Log!$J$2:$J$37,"Open")</f>
        <v>0</v>
      </c>
      <c r="F16" s="1"/>
    </row>
    <row r="17" spans="1:6" x14ac:dyDescent="0.25">
      <c r="A17" s="1" t="s">
        <v>369</v>
      </c>
      <c r="B17" s="1">
        <f>COUNTIF(Defect_Log!$L$2:$L$37,A17)</f>
        <v>0</v>
      </c>
      <c r="C17" s="25">
        <f t="shared" si="0"/>
        <v>0</v>
      </c>
      <c r="D17" s="25">
        <f>SUM($B$5:B17)/$B$18</f>
        <v>1</v>
      </c>
      <c r="E17" s="1">
        <f>COUNTIFS(Defect_Log!$L$2:$L$37,A17,Defect_Log!$J$2:$J$37,"Open")</f>
        <v>0</v>
      </c>
      <c r="F17" s="1"/>
    </row>
    <row r="18" spans="1:6" x14ac:dyDescent="0.25">
      <c r="A18" s="3" t="s">
        <v>434</v>
      </c>
      <c r="B18" s="1">
        <f>SUM(B5:B17)</f>
        <v>36</v>
      </c>
      <c r="C18" s="25">
        <f>SUM(C5:C17)</f>
        <v>1.0000000000000002</v>
      </c>
      <c r="D18" s="25"/>
      <c r="E18" s="1">
        <f>SUM(E5:E17)</f>
        <v>27</v>
      </c>
      <c r="F18" s="1"/>
    </row>
    <row r="19" spans="1:6" x14ac:dyDescent="0.25">
      <c r="A19" s="1"/>
      <c r="B19" s="1"/>
      <c r="C19" s="25"/>
      <c r="D19" s="25"/>
      <c r="E19" s="1"/>
      <c r="F19" s="1"/>
    </row>
    <row r="20" spans="1:6" ht="75" customHeight="1" x14ac:dyDescent="0.25">
      <c r="A20" s="27" t="s">
        <v>435</v>
      </c>
      <c r="B20" s="27"/>
      <c r="C20" s="28"/>
      <c r="D20" s="28"/>
      <c r="E20" s="27"/>
      <c r="F20" s="27"/>
    </row>
  </sheetData>
  <mergeCells count="1">
    <mergeCell ref="A20:F20"/>
  </mergeCells>
  <conditionalFormatting sqref="B5:B20">
    <cfRule type="dataBar" priority="1">
      <dataBar>
        <cfvo type="min"/>
        <cfvo type="max"/>
        <color rgb="FF4BACC6"/>
      </dataBar>
    </cfRule>
  </conditionalFormatting>
  <conditionalFormatting sqref="B5:B20">
    <cfRule type="dataBar" priority="2">
      <dataBar>
        <cfvo type="min"/>
        <cfvo type="max"/>
        <color rgb="FF4BACC6"/>
      </dataBar>
      <extLst>
        <ext xmlns:x14="http://schemas.microsoft.com/office/spreadsheetml/2009/9/main" uri="{B025F937-C7B1-47D3-B67F-A62EFF666E3E}">
          <x14:id>{3BE6BDD5-EF71-101F-D0BA-41A2E6907D87}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6BDD5-EF71-101F-D0BA-41A2E6907D87}">
            <x14:dataBar>
              <x14:cfvo type="min"/>
              <x14:cfvo type="max"/>
              <x14:negativeFillColor auto="1"/>
              <x14:axisColor auto="1"/>
            </x14:dataBar>
          </x14:cfRule>
          <xm:sqref>B5:B20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workbookViewId="0"/>
  </sheetViews>
  <sheetFormatPr defaultRowHeight="15" x14ac:dyDescent="0.25"/>
  <cols>
    <col min="1" max="1" width="5" customWidth="1"/>
    <col min="2" max="2" width="31" customWidth="1"/>
    <col min="3" max="3" width="28" customWidth="1"/>
    <col min="4" max="4" width="22" customWidth="1"/>
    <col min="5" max="5" width="9" customWidth="1"/>
    <col min="6" max="6" width="34" customWidth="1"/>
    <col min="7" max="7" width="36" customWidth="1"/>
    <col min="8" max="8" width="40" customWidth="1"/>
    <col min="9" max="9" width="34" customWidth="1"/>
    <col min="10" max="10" width="30" customWidth="1"/>
    <col min="11" max="11" width="34" customWidth="1"/>
    <col min="12" max="12" width="24" customWidth="1"/>
    <col min="13" max="13" width="22" customWidth="1"/>
    <col min="14" max="14" width="15" customWidth="1"/>
  </cols>
  <sheetData>
    <row r="1" spans="1:14" ht="19.5" customHeight="1" x14ac:dyDescent="0.35">
      <c r="A1" s="8" t="s">
        <v>436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8" customHeight="1" x14ac:dyDescent="0.25">
      <c r="A2" s="23" t="s">
        <v>435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14" ht="45" customHeight="1" x14ac:dyDescent="0.25">
      <c r="A4" s="24" t="s">
        <v>437</v>
      </c>
      <c r="B4" s="24" t="s">
        <v>11</v>
      </c>
      <c r="C4" s="24" t="s">
        <v>438</v>
      </c>
      <c r="D4" s="24" t="s">
        <v>439</v>
      </c>
      <c r="E4" s="24" t="s">
        <v>428</v>
      </c>
      <c r="F4" s="24" t="s">
        <v>440</v>
      </c>
      <c r="G4" s="24" t="s">
        <v>441</v>
      </c>
      <c r="H4" s="24" t="s">
        <v>442</v>
      </c>
      <c r="I4" s="24" t="s">
        <v>443</v>
      </c>
      <c r="J4" s="24" t="s">
        <v>444</v>
      </c>
      <c r="K4" s="24" t="s">
        <v>445</v>
      </c>
      <c r="L4" s="24" t="s">
        <v>446</v>
      </c>
      <c r="M4" s="24" t="s">
        <v>447</v>
      </c>
      <c r="N4" s="24" t="s">
        <v>18</v>
      </c>
    </row>
    <row r="5" spans="1:14" ht="99.95" customHeight="1" x14ac:dyDescent="0.25">
      <c r="A5" s="1">
        <v>1</v>
      </c>
      <c r="B5" s="1" t="s">
        <v>35</v>
      </c>
      <c r="C5" s="1" t="s">
        <v>448</v>
      </c>
      <c r="D5" s="1" t="s">
        <v>449</v>
      </c>
      <c r="E5" s="1">
        <f>COUNTIF(Defect_Log!$L$2:$L$37,B5)</f>
        <v>7</v>
      </c>
      <c r="F5" s="1" t="s">
        <v>450</v>
      </c>
      <c r="G5" s="1" t="s">
        <v>451</v>
      </c>
      <c r="H5" s="1" t="s">
        <v>452</v>
      </c>
      <c r="I5" s="1" t="s">
        <v>453</v>
      </c>
      <c r="J5" s="1" t="s">
        <v>454</v>
      </c>
      <c r="K5" s="1" t="s">
        <v>455</v>
      </c>
      <c r="L5" s="1" t="s">
        <v>45</v>
      </c>
      <c r="M5" s="1" t="s">
        <v>456</v>
      </c>
      <c r="N5" s="1" t="s">
        <v>41</v>
      </c>
    </row>
    <row r="6" spans="1:14" ht="99.95" customHeight="1" x14ac:dyDescent="0.25">
      <c r="A6" s="1">
        <v>2</v>
      </c>
      <c r="B6" s="1" t="s">
        <v>107</v>
      </c>
      <c r="C6" s="1" t="s">
        <v>457</v>
      </c>
      <c r="D6" s="1" t="s">
        <v>458</v>
      </c>
      <c r="E6" s="1">
        <f>COUNTIF(Defect_Log!$L$2:$L$37,B6)</f>
        <v>6</v>
      </c>
      <c r="F6" s="1" t="s">
        <v>459</v>
      </c>
      <c r="G6" s="1" t="s">
        <v>460</v>
      </c>
      <c r="H6" s="1" t="s">
        <v>461</v>
      </c>
      <c r="I6" s="1" t="s">
        <v>462</v>
      </c>
      <c r="J6" s="1" t="s">
        <v>463</v>
      </c>
      <c r="K6" s="1" t="s">
        <v>464</v>
      </c>
      <c r="L6" s="1" t="s">
        <v>465</v>
      </c>
      <c r="M6" s="1" t="s">
        <v>466</v>
      </c>
      <c r="N6" s="1" t="s">
        <v>41</v>
      </c>
    </row>
    <row r="7" spans="1:14" ht="99.95" customHeight="1" x14ac:dyDescent="0.25">
      <c r="A7" s="1">
        <v>3</v>
      </c>
      <c r="B7" s="1" t="s">
        <v>190</v>
      </c>
      <c r="C7" s="1" t="s">
        <v>467</v>
      </c>
      <c r="D7" s="1" t="s">
        <v>468</v>
      </c>
      <c r="E7" s="1">
        <f>COUNTIF(Defect_Log!$L$2:$L$37,B7)</f>
        <v>4</v>
      </c>
      <c r="F7" s="1" t="s">
        <v>469</v>
      </c>
      <c r="G7" s="1" t="s">
        <v>470</v>
      </c>
      <c r="H7" s="1" t="s">
        <v>471</v>
      </c>
      <c r="I7" s="1" t="s">
        <v>472</v>
      </c>
      <c r="J7" s="1" t="s">
        <v>473</v>
      </c>
      <c r="K7" s="1" t="s">
        <v>474</v>
      </c>
      <c r="L7" s="1" t="s">
        <v>259</v>
      </c>
      <c r="M7" s="1" t="s">
        <v>466</v>
      </c>
      <c r="N7" s="1" t="s">
        <v>41</v>
      </c>
    </row>
    <row r="8" spans="1:14" ht="99.95" customHeight="1" x14ac:dyDescent="0.25">
      <c r="A8" s="1">
        <v>4</v>
      </c>
      <c r="B8" s="1" t="s">
        <v>160</v>
      </c>
      <c r="C8" s="1" t="s">
        <v>475</v>
      </c>
      <c r="D8" s="1" t="s">
        <v>476</v>
      </c>
      <c r="E8" s="1">
        <f>COUNTIF(Defect_Log!$L$2:$L$37,B8)</f>
        <v>6</v>
      </c>
      <c r="F8" s="1" t="s">
        <v>477</v>
      </c>
      <c r="G8" s="1" t="s">
        <v>478</v>
      </c>
      <c r="H8" s="1" t="s">
        <v>479</v>
      </c>
      <c r="I8" s="1" t="s">
        <v>480</v>
      </c>
      <c r="J8" s="1" t="s">
        <v>481</v>
      </c>
      <c r="K8" s="1" t="s">
        <v>482</v>
      </c>
      <c r="L8" s="1" t="s">
        <v>162</v>
      </c>
      <c r="M8" s="1" t="s">
        <v>466</v>
      </c>
      <c r="N8" s="1" t="s">
        <v>41</v>
      </c>
    </row>
    <row r="9" spans="1:14" ht="99.95" customHeight="1" x14ac:dyDescent="0.25">
      <c r="A9" s="1">
        <v>5</v>
      </c>
      <c r="B9" s="1" t="s">
        <v>215</v>
      </c>
      <c r="C9" s="1" t="s">
        <v>483</v>
      </c>
      <c r="D9" s="1" t="s">
        <v>484</v>
      </c>
      <c r="E9" s="1">
        <f>COUNTIF(Defect_Log!$L$2:$L$37,B9)</f>
        <v>1</v>
      </c>
      <c r="F9" s="1" t="s">
        <v>485</v>
      </c>
      <c r="G9" s="1" t="s">
        <v>486</v>
      </c>
      <c r="H9" s="1" t="s">
        <v>487</v>
      </c>
      <c r="I9" s="1" t="s">
        <v>488</v>
      </c>
      <c r="J9" s="1" t="s">
        <v>489</v>
      </c>
      <c r="K9" s="1" t="s">
        <v>490</v>
      </c>
      <c r="L9" s="1" t="s">
        <v>219</v>
      </c>
      <c r="M9" s="1" t="s">
        <v>466</v>
      </c>
      <c r="N9" s="1" t="s">
        <v>41</v>
      </c>
    </row>
    <row r="10" spans="1:14" ht="99.9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99.95" customHeight="1" x14ac:dyDescent="0.25">
      <c r="A11" s="1" t="s">
        <v>491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"/>
  <sheetViews>
    <sheetView topLeftCell="A13" workbookViewId="0"/>
  </sheetViews>
  <sheetFormatPr defaultRowHeight="15" x14ac:dyDescent="0.25"/>
  <cols>
    <col min="1" max="1" width="10" customWidth="1"/>
    <col min="2" max="2" width="31" customWidth="1"/>
    <col min="3" max="3" width="38" customWidth="1"/>
    <col min="4" max="4" width="18" customWidth="1"/>
    <col min="5" max="6" width="16" customWidth="1"/>
    <col min="7" max="7" width="9" customWidth="1"/>
    <col min="8" max="8" width="38" customWidth="1"/>
    <col min="9" max="9" width="15" customWidth="1"/>
    <col min="10" max="10" width="13" customWidth="1"/>
    <col min="11" max="11" width="31" customWidth="1"/>
  </cols>
  <sheetData>
    <row r="1" spans="1:11" ht="19.5" customHeight="1" x14ac:dyDescent="0.35">
      <c r="A1" s="8" t="s">
        <v>492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80" customHeight="1" x14ac:dyDescent="0.25">
      <c r="A2" s="26" t="s">
        <v>493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4" spans="1:11" ht="30" customHeight="1" x14ac:dyDescent="0.25">
      <c r="A4" s="24" t="s">
        <v>494</v>
      </c>
      <c r="B4" s="24" t="s">
        <v>11</v>
      </c>
      <c r="C4" s="24" t="s">
        <v>495</v>
      </c>
      <c r="D4" s="24" t="s">
        <v>14</v>
      </c>
      <c r="E4" s="24" t="s">
        <v>496</v>
      </c>
      <c r="F4" s="24" t="s">
        <v>18</v>
      </c>
      <c r="G4" s="24" t="s">
        <v>8</v>
      </c>
      <c r="H4" s="24" t="s">
        <v>497</v>
      </c>
      <c r="I4" s="24" t="s">
        <v>9</v>
      </c>
      <c r="J4" s="24" t="s">
        <v>498</v>
      </c>
      <c r="K4" s="24" t="s">
        <v>499</v>
      </c>
    </row>
    <row r="5" spans="1:11" ht="75.95" customHeight="1" x14ac:dyDescent="0.25">
      <c r="A5" s="1" t="s">
        <v>259</v>
      </c>
      <c r="B5" s="1" t="s">
        <v>190</v>
      </c>
      <c r="C5" s="1" t="s">
        <v>500</v>
      </c>
      <c r="D5" s="1" t="s">
        <v>109</v>
      </c>
      <c r="E5" s="1" t="s">
        <v>41</v>
      </c>
      <c r="F5" s="1" t="s">
        <v>41</v>
      </c>
      <c r="G5" s="1" t="s">
        <v>135</v>
      </c>
      <c r="H5" s="1" t="s">
        <v>501</v>
      </c>
      <c r="I5" s="1" t="s">
        <v>31</v>
      </c>
      <c r="J5" s="1">
        <f>COUNTIF(Defect_Log!$X$2:$X$37,A5)</f>
        <v>3</v>
      </c>
      <c r="K5" s="1"/>
    </row>
    <row r="6" spans="1:11" ht="75.95" customHeight="1" x14ac:dyDescent="0.25">
      <c r="A6" s="1" t="s">
        <v>502</v>
      </c>
      <c r="B6" s="1" t="s">
        <v>367</v>
      </c>
      <c r="C6" s="1" t="s">
        <v>503</v>
      </c>
      <c r="D6" s="1" t="s">
        <v>109</v>
      </c>
      <c r="E6" s="1" t="s">
        <v>41</v>
      </c>
      <c r="F6" s="1" t="s">
        <v>41</v>
      </c>
      <c r="G6" s="1" t="s">
        <v>32</v>
      </c>
      <c r="H6" s="1" t="s">
        <v>504</v>
      </c>
      <c r="I6" s="1" t="s">
        <v>31</v>
      </c>
      <c r="J6" s="1">
        <f>COUNTIF(Defect_Log!$X$2:$X$37,A6)</f>
        <v>0</v>
      </c>
      <c r="K6" s="1" t="s">
        <v>505</v>
      </c>
    </row>
    <row r="7" spans="1:11" ht="75.95" customHeight="1" x14ac:dyDescent="0.25">
      <c r="A7" s="1" t="s">
        <v>112</v>
      </c>
      <c r="B7" s="1" t="s">
        <v>107</v>
      </c>
      <c r="C7" s="1" t="s">
        <v>506</v>
      </c>
      <c r="D7" s="1" t="s">
        <v>97</v>
      </c>
      <c r="E7" s="1" t="s">
        <v>507</v>
      </c>
      <c r="F7" s="1" t="s">
        <v>508</v>
      </c>
      <c r="G7" s="1" t="s">
        <v>135</v>
      </c>
      <c r="H7" s="1" t="s">
        <v>509</v>
      </c>
      <c r="I7" s="1" t="s">
        <v>510</v>
      </c>
      <c r="J7" s="1">
        <f>COUNTIF(Defect_Log!$X$2:$X$37,A7)</f>
        <v>3</v>
      </c>
      <c r="K7" s="1" t="s">
        <v>511</v>
      </c>
    </row>
    <row r="8" spans="1:11" ht="75.95" customHeight="1" x14ac:dyDescent="0.25">
      <c r="A8" s="1" t="s">
        <v>140</v>
      </c>
      <c r="B8" s="1" t="s">
        <v>107</v>
      </c>
      <c r="C8" s="1" t="s">
        <v>512</v>
      </c>
      <c r="D8" s="1" t="s">
        <v>109</v>
      </c>
      <c r="E8" s="1" t="s">
        <v>41</v>
      </c>
      <c r="F8" s="1" t="s">
        <v>41</v>
      </c>
      <c r="G8" s="1" t="s">
        <v>32</v>
      </c>
      <c r="H8" s="1" t="s">
        <v>513</v>
      </c>
      <c r="I8" s="1" t="s">
        <v>31</v>
      </c>
      <c r="J8" s="1">
        <f>COUNTIF(Defect_Log!$X$2:$X$37,A8)</f>
        <v>5</v>
      </c>
      <c r="K8" s="1" t="s">
        <v>514</v>
      </c>
    </row>
    <row r="9" spans="1:11" ht="75.95" customHeight="1" x14ac:dyDescent="0.25">
      <c r="A9" s="1" t="s">
        <v>219</v>
      </c>
      <c r="B9" s="1" t="s">
        <v>215</v>
      </c>
      <c r="C9" s="1" t="s">
        <v>515</v>
      </c>
      <c r="D9" s="1" t="s">
        <v>109</v>
      </c>
      <c r="E9" s="1" t="s">
        <v>41</v>
      </c>
      <c r="F9" s="1" t="s">
        <v>41</v>
      </c>
      <c r="G9" s="1" t="s">
        <v>135</v>
      </c>
      <c r="H9" s="1" t="s">
        <v>516</v>
      </c>
      <c r="I9" s="1" t="s">
        <v>31</v>
      </c>
      <c r="J9" s="1">
        <f>COUNTIF(Defect_Log!$X$2:$X$37,A9)</f>
        <v>1</v>
      </c>
      <c r="K9" s="1"/>
    </row>
    <row r="10" spans="1:11" ht="75.95" customHeight="1" x14ac:dyDescent="0.25">
      <c r="A10" s="1" t="s">
        <v>162</v>
      </c>
      <c r="B10" s="1" t="s">
        <v>160</v>
      </c>
      <c r="C10" s="1" t="s">
        <v>517</v>
      </c>
      <c r="D10" s="1" t="s">
        <v>109</v>
      </c>
      <c r="E10" s="1" t="s">
        <v>41</v>
      </c>
      <c r="F10" s="1" t="s">
        <v>41</v>
      </c>
      <c r="G10" s="1" t="s">
        <v>135</v>
      </c>
      <c r="H10" s="1" t="s">
        <v>518</v>
      </c>
      <c r="I10" s="1" t="s">
        <v>31</v>
      </c>
      <c r="J10" s="1">
        <f>COUNTIF(Defect_Log!$X$2:$X$37,A10)</f>
        <v>6</v>
      </c>
      <c r="K10" s="1"/>
    </row>
    <row r="11" spans="1:11" ht="75.95" customHeight="1" x14ac:dyDescent="0.25">
      <c r="A11" s="1" t="s">
        <v>519</v>
      </c>
      <c r="B11" s="1" t="s">
        <v>368</v>
      </c>
      <c r="C11" s="1" t="s">
        <v>520</v>
      </c>
      <c r="D11" s="1" t="s">
        <v>97</v>
      </c>
      <c r="E11" s="1" t="s">
        <v>41</v>
      </c>
      <c r="F11" s="1" t="s">
        <v>41</v>
      </c>
      <c r="G11" s="1" t="s">
        <v>32</v>
      </c>
      <c r="H11" s="1" t="s">
        <v>521</v>
      </c>
      <c r="I11" s="1" t="s">
        <v>359</v>
      </c>
      <c r="J11" s="1">
        <f>COUNTIF(Defect_Log!$X$2:$X$37,A11)</f>
        <v>0</v>
      </c>
      <c r="K11" s="1" t="s">
        <v>522</v>
      </c>
    </row>
    <row r="12" spans="1:11" ht="75.95" customHeight="1" x14ac:dyDescent="0.25">
      <c r="A12" s="1" t="s">
        <v>523</v>
      </c>
      <c r="B12" s="1" t="s">
        <v>369</v>
      </c>
      <c r="C12" s="1" t="s">
        <v>524</v>
      </c>
      <c r="D12" s="1" t="s">
        <v>97</v>
      </c>
      <c r="E12" s="1" t="s">
        <v>41</v>
      </c>
      <c r="F12" s="1" t="s">
        <v>41</v>
      </c>
      <c r="G12" s="1" t="s">
        <v>32</v>
      </c>
      <c r="H12" s="1" t="s">
        <v>525</v>
      </c>
      <c r="I12" s="1" t="s">
        <v>31</v>
      </c>
      <c r="J12" s="1">
        <f>COUNTIF(Defect_Log!$X$2:$X$37,A12)</f>
        <v>0</v>
      </c>
      <c r="K12" s="1"/>
    </row>
    <row r="13" spans="1:11" ht="75.95" customHeight="1" x14ac:dyDescent="0.25">
      <c r="A13" s="1" t="s">
        <v>281</v>
      </c>
      <c r="B13" s="1" t="s">
        <v>279</v>
      </c>
      <c r="C13" s="1" t="s">
        <v>526</v>
      </c>
      <c r="D13" s="1" t="s">
        <v>109</v>
      </c>
      <c r="E13" s="1" t="s">
        <v>41</v>
      </c>
      <c r="F13" s="1" t="s">
        <v>41</v>
      </c>
      <c r="G13" s="1" t="s">
        <v>32</v>
      </c>
      <c r="H13" s="1" t="s">
        <v>527</v>
      </c>
      <c r="I13" s="1" t="s">
        <v>31</v>
      </c>
      <c r="J13" s="1">
        <f>COUNTIF(Defect_Log!$X$2:$X$37,A13)</f>
        <v>3</v>
      </c>
      <c r="K13" s="1"/>
    </row>
    <row r="14" spans="1:11" ht="75.95" customHeight="1" x14ac:dyDescent="0.25">
      <c r="A14" s="1" t="s">
        <v>208</v>
      </c>
      <c r="B14" s="1" t="s">
        <v>169</v>
      </c>
      <c r="C14" s="1" t="s">
        <v>528</v>
      </c>
      <c r="D14" s="1" t="s">
        <v>97</v>
      </c>
      <c r="E14" s="1" t="s">
        <v>41</v>
      </c>
      <c r="F14" s="1" t="s">
        <v>41</v>
      </c>
      <c r="G14" s="1" t="s">
        <v>32</v>
      </c>
      <c r="H14" s="1" t="s">
        <v>529</v>
      </c>
      <c r="I14" s="1" t="s">
        <v>31</v>
      </c>
      <c r="J14" s="1">
        <f>COUNTIF(Defect_Log!$X$2:$X$37,A14)</f>
        <v>3</v>
      </c>
      <c r="K14" s="1" t="s">
        <v>530</v>
      </c>
    </row>
    <row r="15" spans="1:11" ht="75.95" customHeight="1" x14ac:dyDescent="0.25">
      <c r="A15" s="1" t="s">
        <v>45</v>
      </c>
      <c r="B15" s="1" t="s">
        <v>35</v>
      </c>
      <c r="C15" s="1" t="s">
        <v>531</v>
      </c>
      <c r="D15" s="1" t="s">
        <v>38</v>
      </c>
      <c r="E15" s="1" t="s">
        <v>41</v>
      </c>
      <c r="F15" s="1" t="s">
        <v>41</v>
      </c>
      <c r="G15" s="1" t="s">
        <v>32</v>
      </c>
      <c r="H15" s="1" t="s">
        <v>532</v>
      </c>
      <c r="I15" s="1" t="s">
        <v>31</v>
      </c>
      <c r="J15" s="1">
        <f>COUNTIF(Defect_Log!$X$2:$X$37,A15)</f>
        <v>7</v>
      </c>
      <c r="K15" s="1"/>
    </row>
    <row r="16" spans="1:11" ht="75.95" customHeight="1" x14ac:dyDescent="0.25">
      <c r="A16" s="1" t="s">
        <v>99</v>
      </c>
      <c r="B16" s="1" t="s">
        <v>94</v>
      </c>
      <c r="C16" s="1" t="s">
        <v>533</v>
      </c>
      <c r="D16" s="1" t="s">
        <v>97</v>
      </c>
      <c r="E16" s="1" t="s">
        <v>41</v>
      </c>
      <c r="F16" s="1" t="s">
        <v>41</v>
      </c>
      <c r="G16" s="1" t="s">
        <v>92</v>
      </c>
      <c r="H16" s="1" t="s">
        <v>534</v>
      </c>
      <c r="I16" s="1" t="s">
        <v>31</v>
      </c>
      <c r="J16" s="1">
        <f>COUNTIF(Defect_Log!$X$2:$X$37,A16)</f>
        <v>2</v>
      </c>
      <c r="K16" s="1"/>
    </row>
    <row r="17" spans="1:11" ht="75.95" customHeight="1" x14ac:dyDescent="0.25">
      <c r="A17" s="1" t="s">
        <v>313</v>
      </c>
      <c r="B17" s="1" t="s">
        <v>310</v>
      </c>
      <c r="C17" s="1" t="s">
        <v>535</v>
      </c>
      <c r="D17" s="1" t="s">
        <v>312</v>
      </c>
      <c r="E17" s="1" t="s">
        <v>41</v>
      </c>
      <c r="F17" s="1" t="s">
        <v>41</v>
      </c>
      <c r="G17" s="1" t="s">
        <v>32</v>
      </c>
      <c r="H17" s="1" t="s">
        <v>536</v>
      </c>
      <c r="I17" s="1" t="s">
        <v>31</v>
      </c>
      <c r="J17" s="1">
        <f>COUNTIF(Defect_Log!$X$2:$X$37,A17)</f>
        <v>1</v>
      </c>
      <c r="K17" s="1"/>
    </row>
    <row r="18" spans="1:11" ht="75.95" customHeight="1" x14ac:dyDescent="0.25">
      <c r="A18" s="1" t="s">
        <v>242</v>
      </c>
      <c r="B18" s="1" t="s">
        <v>238</v>
      </c>
      <c r="C18" s="1" t="s">
        <v>537</v>
      </c>
      <c r="D18" s="1" t="s">
        <v>97</v>
      </c>
      <c r="E18" s="1" t="s">
        <v>41</v>
      </c>
      <c r="F18" s="1" t="s">
        <v>41</v>
      </c>
      <c r="G18" s="1" t="s">
        <v>32</v>
      </c>
      <c r="H18" s="1" t="s">
        <v>538</v>
      </c>
      <c r="I18" s="1" t="s">
        <v>31</v>
      </c>
      <c r="J18" s="1">
        <f>COUNTIF(Defect_Log!$X$2:$X$37,A18)</f>
        <v>1</v>
      </c>
      <c r="K18" s="1"/>
    </row>
  </sheetData>
  <conditionalFormatting sqref="I5:I18">
    <cfRule type="expression" dxfId="3" priority="1">
      <formula>I5="Done"</formula>
    </cfRule>
    <cfRule type="expression" dxfId="2" priority="2">
      <formula>I5="Proposed"</formula>
    </cfRule>
    <cfRule type="expression" dxfId="1" priority="3">
      <formula>I5="In Progress"</formula>
    </cfRule>
    <cfRule type="expression" dxfId="0" priority="4">
      <formula>I5="Blocked"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Defect_Log</vt:lpstr>
      <vt:lpstr>Taxonomy</vt:lpstr>
      <vt:lpstr>Dashboard</vt:lpstr>
      <vt:lpstr>Pareto</vt:lpstr>
      <vt:lpstr>RCA_Top5</vt:lpstr>
      <vt:lpstr>Prevention_Actions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2026-10-07T06:35:57Z</dcterms:modified>
</cp:coreProperties>
</file>