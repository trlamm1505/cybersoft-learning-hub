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buoi4ngay2duan30ngay\"/>
    </mc:Choice>
  </mc:AlternateContent>
  <xr:revisionPtr revIDLastSave="0" documentId="13_ncr:1_{9B8CC9B3-4FCB-44E5-9406-5688B5BD29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_TestStrategy" sheetId="2" r:id="rId1"/>
    <sheet name="02_QualityGates" sheetId="3" r:id="rId2"/>
    <sheet name="03_SeverityPolicy" sheetId="4" r:id="rId3"/>
    <sheet name="04_ReleaseWaiv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3" l="1"/>
  <c r="B22" i="3"/>
  <c r="B21" i="3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10" i="5"/>
  <c r="L9" i="5"/>
  <c r="L8" i="5"/>
  <c r="B18" i="4"/>
  <c r="G17" i="3"/>
  <c r="G16" i="3"/>
  <c r="G15" i="3"/>
  <c r="G14" i="3"/>
  <c r="G13" i="3"/>
  <c r="G11" i="3"/>
  <c r="G10" i="3"/>
  <c r="G9" i="3"/>
  <c r="G8" i="3"/>
</calcChain>
</file>

<file path=xl/sharedStrings.xml><?xml version="1.0" encoding="utf-8"?>
<sst xmlns="http://schemas.openxmlformats.org/spreadsheetml/2006/main" count="272" uniqueCount="204">
  <si>
    <t>Điều kiện</t>
  </si>
  <si>
    <t>Ghi chú</t>
  </si>
  <si>
    <t>TEST STRATEGY v1</t>
  </si>
  <si>
    <t>1. THÔNG TIN CHIẾN LƯỢC</t>
  </si>
  <si>
    <t>Hạng mục</t>
  </si>
  <si>
    <t>Nội dung</t>
  </si>
  <si>
    <t>Mục tiêu</t>
  </si>
  <si>
    <t>Đảm bảo code, API, UI, nội dung, dữ liệu và AI đạt yêu cầu chất lượng trước review/publish/release.</t>
  </si>
  <si>
    <t>Phạm vi</t>
  </si>
  <si>
    <t>Unit, API, UI/E2E, Content, Data, AI Evaluation.</t>
  </si>
  <si>
    <t>Ưu tiên</t>
  </si>
  <si>
    <t>Ưu tiên critical learner flows, lỗi Critical/High, dữ liệu và nội dung ảnh hưởng trực tiếp người dùng.</t>
  </si>
  <si>
    <t>Release rule chính</t>
  </si>
  <si>
    <t>Critical defect = 0; critical flow phải PASS; các checks bắt buộc phải PASS; có reviewer approval.</t>
  </si>
  <si>
    <t>Đây là v1 dùng cho Ngày 02; có thể cập nhật khi dự án có thêm tiêu chí/metric thực tế.</t>
  </si>
  <si>
    <t>2. MA TRẬN TEST STRATEGY</t>
  </si>
  <si>
    <t>Mục tiêu kiểm thử</t>
  </si>
  <si>
    <t>Ví dụ</t>
  </si>
  <si>
    <t>Approach</t>
  </si>
  <si>
    <t>Khi chạy</t>
  </si>
  <si>
    <t>Điều kiện PASS</t>
  </si>
  <si>
    <t>Bằng chứng</t>
  </si>
  <si>
    <t>Unit / Component</t>
  </si>
  <si>
    <t>Xác minh hàm/component riêng lẻ hoạt động đúng.</t>
  </si>
  <si>
    <t>calculateScore(8,10) trả đúng kết quả.</t>
  </si>
  <si>
    <t>Unit test; kiểm tra logic, boundary, exception phù hợp.</t>
  </si>
  <si>
    <t>Khi commit / trước merge.</t>
  </si>
  <si>
    <t>Các unit test bắt buộc PASS.</t>
  </si>
  <si>
    <t>Developer</t>
  </si>
  <si>
    <t>Test report / CI log</t>
  </si>
  <si>
    <t>API</t>
  </si>
  <si>
    <t>Xác minh request/response và business logic qua API.</t>
  </si>
  <si>
    <t>POST /login hợp lệ → HTTP 200 và có token.</t>
  </si>
  <si>
    <t>Positive / negative / boundary; kiểm tra status code, schema, auth.</t>
  </si>
  <si>
    <t>PR / trước release.</t>
  </si>
  <si>
    <t>Critical API checks PASS.</t>
  </si>
  <si>
    <t>QA / Developer</t>
  </si>
  <si>
    <t>API test report</t>
  </si>
  <si>
    <t>UI / E2E</t>
  </si>
  <si>
    <t>Xác minh luồng người dùng từ đầu đến cuối.</t>
  </si>
  <si>
    <t>Đăng nhập → Dashboard hiển thị đúng.</t>
  </si>
  <si>
    <t>Smoke/E2E theo critical user flow.</t>
  </si>
  <si>
    <t>Trước publish/release.</t>
  </si>
  <si>
    <t>Critical flow pass rate = 100%.</t>
  </si>
  <si>
    <t>QA</t>
  </si>
  <si>
    <t>Screenshot/video/report</t>
  </si>
  <si>
    <t>Content</t>
  </si>
  <si>
    <t>Phát hiện học liệu/quiz thiếu hoặc sai cấu trúc trước publish.</t>
  </si>
  <si>
    <t>Quiz phải có câu hỏi, lựa chọn và answer key.</t>
  </si>
  <si>
    <t>Checklist + content validator.</t>
  </si>
  <si>
    <t>Draft → Reviewed; Reviewed → Published.</t>
  </si>
  <si>
    <t>Required content checks = PASS.</t>
  </si>
  <si>
    <t>QA / Content Reviewer</t>
  </si>
  <si>
    <t>Checklist / validator result</t>
  </si>
  <si>
    <t>Data</t>
  </si>
  <si>
    <t>Đảm bảo dữ liệu hợp lệ, đúng schema và ràng buộc.</t>
  </si>
  <si>
    <t>score 0–10; student_id không null/không trùng.</t>
  </si>
  <si>
    <t>Schema validation; valid/boundary/invalid test data.</t>
  </si>
  <si>
    <t>Trước Reviewed/Published và khi thay đổi schema.</t>
  </si>
  <si>
    <t>Data validation = PASS.</t>
  </si>
  <si>
    <t>QA / Data Owner</t>
  </si>
  <si>
    <t>Validation report</t>
  </si>
  <si>
    <t>AI Evaluation</t>
  </si>
  <si>
    <t>Đo độ đúng, bám nguồn, an toàn và không leakage/hallucination theo use case.</t>
  </si>
  <si>
    <t>AI Coach trả lời đúng, không bịa, không lộ hidden answer.</t>
  </si>
  <si>
    <t>Eval dataset + rubric/criteria + human review khi cần.</t>
  </si>
  <si>
    <t>Trước publish/release cho tính năng AI.</t>
  </si>
  <si>
    <t>Các tiêu chí AI bắt buộc đạt ngưỡng dự án.</t>
  </si>
  <si>
    <t>QA / AI Evaluator</t>
  </si>
  <si>
    <t>Eval report / rubric score</t>
  </si>
  <si>
    <t>QUALITY GATE MATRIX – DRAFT → REVIEWED → PUBLISHED</t>
  </si>
  <si>
    <t>Gate</t>
  </si>
  <si>
    <t>Chuyển trạng thái</t>
  </si>
  <si>
    <t>Tiêu chí đo được</t>
  </si>
  <si>
    <t>Giá trị mẫu</t>
  </si>
  <si>
    <t>Kết quả mẫu</t>
  </si>
  <si>
    <t>Nếu FAIL</t>
  </si>
  <si>
    <t>Waiver?</t>
  </si>
  <si>
    <t>G1</t>
  </si>
  <si>
    <t>Draft → Reviewed</t>
  </si>
  <si>
    <t>Đủ các trường nội dung bắt buộc (%)</t>
  </si>
  <si>
    <t>100%</t>
  </si>
  <si>
    <t>Giữ Draft; trả về owner sửa.</t>
  </si>
  <si>
    <t>Không</t>
  </si>
  <si>
    <t>Ví dụ: title, learning outcome, nội dung bắt buộc.</t>
  </si>
  <si>
    <t>Schema/Data validation</t>
  </si>
  <si>
    <t>PASS</t>
  </si>
  <si>
    <t>Giữ Draft; sửa dữ liệu/schema.</t>
  </si>
  <si>
    <t>Không chuyển trạng thái nếu data validation fail.</t>
  </si>
  <si>
    <t>Defect</t>
  </si>
  <si>
    <t>Số defect S1/Critical đang mở</t>
  </si>
  <si>
    <t>0</t>
  </si>
  <si>
    <t>BLOCK.</t>
  </si>
  <si>
    <t>Critical luôn chặn.</t>
  </si>
  <si>
    <t>Review</t>
  </si>
  <si>
    <t>Số approval từ role được quy định</t>
  </si>
  <si>
    <t>&gt;= 1</t>
  </si>
  <si>
    <t>Không được Reviewed.</t>
  </si>
  <si>
    <t>Có ít nhất 1 approval.</t>
  </si>
  <si>
    <t>G2</t>
  </si>
  <si>
    <t>Reviewed → Published</t>
  </si>
  <si>
    <t>BLOCK Publish/Release.</t>
  </si>
  <si>
    <t>Điều kiện nghiệm thu bắt buộc.</t>
  </si>
  <si>
    <t>Critical flow pass rate (%)</t>
  </si>
  <si>
    <t>BLOCK Publish; sửa và retest.</t>
  </si>
  <si>
    <t>Tùy lỗi</t>
  </si>
  <si>
    <t>Critical learner flow phải pass.</t>
  </si>
  <si>
    <t>Content checks</t>
  </si>
  <si>
    <t>BLOCK Publish.</t>
  </si>
  <si>
    <t>Tùy severity</t>
  </si>
  <si>
    <t>Kiểm tra nội dung trước publish.</t>
  </si>
  <si>
    <t>Data checks</t>
  </si>
  <si>
    <t>Schema/constraint/data quality.</t>
  </si>
  <si>
    <t>Số reviewer approval</t>
  </si>
  <si>
    <t>Không Publish.</t>
  </si>
  <si>
    <t>Phải có reviewer approval.</t>
  </si>
  <si>
    <t>AI evaluation required checks</t>
  </si>
  <si>
    <t>BLOCK với tính năng AI.</t>
  </si>
  <si>
    <t>Áp dụng khi nội dung/chức năng có AI.</t>
  </si>
  <si>
    <t>KẾT LUẬN TỰ ĐỘNG THEO GIÁ TRỊ MẪU</t>
  </si>
  <si>
    <t>Kết luận</t>
  </si>
  <si>
    <t>SEVERITY POLICY</t>
  </si>
  <si>
    <t>Severity = mức độ ảnh hưởng của defect. Policy này dùng 4 mức S1–S4. Điểm bắt buộc: S1/Critical luôn BLOCK release; S2/High chỉ có thể đi tiếp bằng waiver hợp lệ khi policy cho phép.</t>
  </si>
  <si>
    <t>Severity</t>
  </si>
  <si>
    <t>Ý nghĩa</t>
  </si>
  <si>
    <t>Release Rule</t>
  </si>
  <si>
    <t>Hành động</t>
  </si>
  <si>
    <t>Ưu tiên xử lý</t>
  </si>
  <si>
    <t>S1 - Critical</t>
  </si>
  <si>
    <t>Tác động cực lớn: mất dịch vụ, mất/lộ dữ liệu, security/safety nghiêm trọng.</t>
  </si>
  <si>
    <t>Tất cả học viên không đăng nhập được; user A xem dữ liệu user B.</t>
  </si>
  <si>
    <t>BLOCK</t>
  </si>
  <si>
    <t>KHÔNG</t>
  </si>
  <si>
    <t>Fix trước release + retest + regression.</t>
  </si>
  <si>
    <t>Ngay lập tức</t>
  </si>
  <si>
    <t>S2 - High</t>
  </si>
  <si>
    <t>Chức năng cốt lõi bị ảnh hưởng đáng kể.</t>
  </si>
  <si>
    <t>Không nộp được bài; giáo viên không chấm được bài.</t>
  </si>
  <si>
    <t>BLOCK hoặc Waiver hợp lệ</t>
  </si>
  <si>
    <t>CÓ, nếu được duyệt</t>
  </si>
  <si>
    <t>Ưu tiên fix; nếu chưa fix phải có waiver có approver + expiry.</t>
  </si>
  <si>
    <t>Rất cao</t>
  </si>
  <si>
    <t>S3 - Medium</t>
  </si>
  <si>
    <t>Ảnh hưởng chức năng nhưng có workaround hoặc không chặn flow chính.</t>
  </si>
  <si>
    <t>Filter sai; validation message sai.</t>
  </si>
  <si>
    <t>Có thể release nếu risk được ghi nhận</t>
  </si>
  <si>
    <t>CÓ</t>
  </si>
  <si>
    <t>Ghi nhận risk, lên kế hoạch fix.</t>
  </si>
  <si>
    <t>Trung bình</t>
  </si>
  <si>
    <t>S4 - Low</t>
  </si>
  <si>
    <t>Tác động nhỏ/cosmetic.</t>
  </si>
  <si>
    <t>Lệch icon; typo nhỏ.</t>
  </si>
  <si>
    <t>Thường có thể release</t>
  </si>
  <si>
    <t>Đưa backlog nếu không ảnh hưởng release.</t>
  </si>
  <si>
    <t>Thấp</t>
  </si>
  <si>
    <t>MÔ PHỎNG QUYẾT ĐỊNH RELEASE</t>
  </si>
  <si>
    <t>Biến kiểm soát</t>
  </si>
  <si>
    <t>Rule cốt lõi:
1) S1/Critical &gt; 0 ⇒ BLOCK release.
2) S2/High &gt; 0 ⇒ BLOCK, trừ khi policy cho phép và có waiver hợp lệ.
3) S3/S4 có thể release nếu risk được ghi nhận và owner chịu trách nhiệm.</t>
  </si>
  <si>
    <t>S1/Critical open</t>
  </si>
  <si>
    <t>S2/High open</t>
  </si>
  <si>
    <t>Có waiver High hợp lệ?</t>
  </si>
  <si>
    <t>YES</t>
  </si>
  <si>
    <t>Release Decision</t>
  </si>
  <si>
    <t>RELEASE WAIVER – CHẤP NHẬN NGOẠI LỆ CÓ KIỂM SOÁT</t>
  </si>
  <si>
    <t>Waiver ID</t>
  </si>
  <si>
    <t>Defect/Risk ID</t>
  </si>
  <si>
    <t>Lý do cần ngoại lệ</t>
  </si>
  <si>
    <t>Risk nếu vẫn release</t>
  </si>
  <si>
    <t>Biện pháp tạm thời</t>
  </si>
  <si>
    <t>Owner</t>
  </si>
  <si>
    <t>Approved By</t>
  </si>
  <si>
    <t>Approval Date</t>
  </si>
  <si>
    <t>Expiry Date</t>
  </si>
  <si>
    <t>Status</t>
  </si>
  <si>
    <t>Hợp lệ?</t>
  </si>
  <si>
    <t>WAIVER-001</t>
  </si>
  <si>
    <t>DEF-CSV-001</t>
  </si>
  <si>
    <t>Export CSV lỗi trên một browser cũ; chưa kịp sửa trước mốc release.</t>
  </si>
  <si>
    <t>Một nhóm người dùng có thể không export được CSV trên browser đó.</t>
  </si>
  <si>
    <t>Tạm thời hướng dẫn sử dụng browser được hỗ trợ; theo dõi issue và fix trước ngày hết hạn.</t>
  </si>
  <si>
    <t>QA Lead</t>
  </si>
  <si>
    <t>Product Owner</t>
  </si>
  <si>
    <t>Active</t>
  </si>
  <si>
    <t>CHECKLIST WAIVER BẮT BUỘC</t>
  </si>
  <si>
    <t>Bắt buộc</t>
  </si>
  <si>
    <t>Ví dụ đạt</t>
  </si>
  <si>
    <t>Nếu thiếu</t>
  </si>
  <si>
    <t>Có Defect/Risk ID liên quan</t>
  </si>
  <si>
    <t>Có</t>
  </si>
  <si>
    <t>Waiver không đủ truy vết</t>
  </si>
  <si>
    <t>Có Severity</t>
  </si>
  <si>
    <t>Không đánh giá được risk</t>
  </si>
  <si>
    <t>Có Owner</t>
  </si>
  <si>
    <t>Không rõ người chịu trách nhiệm</t>
  </si>
  <si>
    <t>Có Approved By</t>
  </si>
  <si>
    <t>INVALID</t>
  </si>
  <si>
    <t>Có Approval Date</t>
  </si>
  <si>
    <t>31/08/2026</t>
  </si>
  <si>
    <t>Có Expiry Date</t>
  </si>
  <si>
    <t>15/09/2026</t>
  </si>
  <si>
    <t>Không phải S1/Critical</t>
  </si>
  <si>
    <t>S2/S3/S4</t>
  </si>
  <si>
    <t>Critical ⇒ BLOCK release</t>
  </si>
  <si>
    <t xml:space="preserve">Owner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</si>
</sst>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name val="Carlito"/>
    </font>
    <font>
      <b/>
      <sz val="11"/>
      <color rgb="FF1F2937"/>
      <name val="Carlito"/>
    </font>
    <font>
      <b/>
      <sz val="12"/>
      <color rgb="FF17365D"/>
      <name val="Carlito"/>
    </font>
    <font>
      <b/>
      <sz val="11"/>
      <color rgb="FFFFFFFF"/>
      <name val="Carlito"/>
    </font>
    <font>
      <sz val="10"/>
      <color rgb="FF1F2937"/>
      <name val="Carlito"/>
    </font>
    <font>
      <sz val="11"/>
      <color theme="0"/>
      <name val="Carlito"/>
    </font>
    <font>
      <b/>
      <sz val="16"/>
      <name val="Carlito"/>
    </font>
    <font>
      <b/>
      <sz val="22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theme="5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5" borderId="10" xfId="0" applyFont="1" applyFill="1" applyBorder="1" applyAlignment="1">
      <alignment vertical="top" wrapText="1"/>
    </xf>
    <xf numFmtId="0" fontId="4" fillId="5" borderId="11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164" fontId="4" fillId="0" borderId="8" xfId="0" applyNumberFormat="1" applyFont="1" applyBorder="1" applyAlignment="1">
      <alignment vertical="top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5" fillId="8" borderId="0" xfId="0" applyFont="1" applyFill="1"/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/>
    <xf numFmtId="0" fontId="0" fillId="0" borderId="0" xfId="0" applyAlignment="1"/>
    <xf numFmtId="0" fontId="7" fillId="0" borderId="0" xfId="0" applyFont="1"/>
  </cellXfs>
  <cellStyles count="1">
    <cellStyle name="Normal" xfId="0" builtinId="0"/>
  </cellStyles>
  <dxfs count="10">
    <dxf>
      <font>
        <color rgb="FFC00000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1B5E20"/>
      </font>
      <fill>
        <patternFill patternType="solid">
          <bgColor rgb="FFE2F0D9"/>
        </patternFill>
      </fill>
    </dxf>
    <dxf>
      <font>
        <b/>
        <color rgb="FF1B5E2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1B5E2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1B5E2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Normal="100" workbookViewId="0">
      <selection activeCell="A4" sqref="A4:H4"/>
    </sheetView>
  </sheetViews>
  <sheetFormatPr defaultRowHeight="14.25"/>
  <cols>
    <col min="1" max="1" width="20" customWidth="1"/>
    <col min="2" max="2" width="32" customWidth="1"/>
    <col min="3" max="3" width="34" customWidth="1"/>
    <col min="4" max="4" width="42.25" customWidth="1"/>
    <col min="5" max="5" width="24" customWidth="1"/>
    <col min="6" max="6" width="28" customWidth="1"/>
    <col min="7" max="7" width="20" customWidth="1"/>
    <col min="8" max="8" width="24" customWidth="1"/>
  </cols>
  <sheetData>
    <row r="1" spans="1:8" ht="50.25" customHeight="1">
      <c r="D1" s="37" t="s">
        <v>2</v>
      </c>
    </row>
    <row r="2" spans="1:8" ht="21.95" customHeight="1"/>
    <row r="3" spans="1:8" ht="21.95" customHeight="1"/>
    <row r="4" spans="1:8" ht="21.95" customHeight="1">
      <c r="A4" s="33" t="s">
        <v>3</v>
      </c>
      <c r="B4" s="33"/>
      <c r="C4" s="33"/>
      <c r="D4" s="33"/>
      <c r="E4" s="33"/>
      <c r="F4" s="33"/>
      <c r="G4" s="33"/>
      <c r="H4" s="33"/>
    </row>
    <row r="5" spans="1:8" ht="21.95" customHeight="1">
      <c r="A5" s="1" t="s">
        <v>4</v>
      </c>
      <c r="B5" s="3" t="s">
        <v>5</v>
      </c>
    </row>
    <row r="6" spans="1:8" ht="42.75" customHeight="1">
      <c r="A6" s="4" t="s">
        <v>6</v>
      </c>
      <c r="B6" s="6" t="s">
        <v>7</v>
      </c>
    </row>
    <row r="7" spans="1:8" ht="33" customHeight="1">
      <c r="A7" s="7" t="s">
        <v>8</v>
      </c>
      <c r="B7" s="9" t="s">
        <v>9</v>
      </c>
    </row>
    <row r="8" spans="1:8" ht="47.25" customHeight="1">
      <c r="A8" s="7" t="s">
        <v>10</v>
      </c>
      <c r="B8" s="9" t="s">
        <v>11</v>
      </c>
    </row>
    <row r="9" spans="1:8" ht="47.25" customHeight="1">
      <c r="A9" s="7" t="s">
        <v>12</v>
      </c>
      <c r="B9" s="9" t="s">
        <v>13</v>
      </c>
    </row>
    <row r="10" spans="1:8" ht="48.75" customHeight="1">
      <c r="A10" s="10" t="s">
        <v>1</v>
      </c>
      <c r="B10" s="12" t="s">
        <v>14</v>
      </c>
    </row>
    <row r="11" spans="1:8" ht="21.95" customHeight="1"/>
    <row r="12" spans="1:8" ht="21.95" customHeight="1">
      <c r="A12" s="33" t="s">
        <v>15</v>
      </c>
      <c r="B12" s="33"/>
      <c r="C12" s="33"/>
      <c r="D12" s="33"/>
      <c r="E12" s="33"/>
      <c r="F12" s="33"/>
      <c r="G12" s="33"/>
      <c r="H12" s="33"/>
    </row>
    <row r="13" spans="1:8" ht="21.95" customHeight="1">
      <c r="A13" s="1" t="s">
        <v>8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203</v>
      </c>
      <c r="H13" s="3" t="s">
        <v>21</v>
      </c>
    </row>
    <row r="14" spans="1:8" ht="60" customHeight="1">
      <c r="A14" s="4" t="s">
        <v>22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27</v>
      </c>
      <c r="G14" s="5" t="s">
        <v>28</v>
      </c>
      <c r="H14" s="6" t="s">
        <v>29</v>
      </c>
    </row>
    <row r="15" spans="1:8" ht="60" customHeight="1">
      <c r="A15" s="7" t="s">
        <v>30</v>
      </c>
      <c r="B15" s="8" t="s">
        <v>31</v>
      </c>
      <c r="C15" s="8" t="s">
        <v>32</v>
      </c>
      <c r="D15" s="8" t="s">
        <v>33</v>
      </c>
      <c r="E15" s="8" t="s">
        <v>34</v>
      </c>
      <c r="F15" s="8" t="s">
        <v>35</v>
      </c>
      <c r="G15" s="8" t="s">
        <v>36</v>
      </c>
      <c r="H15" s="9" t="s">
        <v>37</v>
      </c>
    </row>
    <row r="16" spans="1:8" ht="60" customHeight="1">
      <c r="A16" s="7" t="s">
        <v>38</v>
      </c>
      <c r="B16" s="8" t="s">
        <v>39</v>
      </c>
      <c r="C16" s="8" t="s">
        <v>40</v>
      </c>
      <c r="D16" s="8" t="s">
        <v>41</v>
      </c>
      <c r="E16" s="8" t="s">
        <v>42</v>
      </c>
      <c r="F16" s="8" t="s">
        <v>43</v>
      </c>
      <c r="G16" s="8" t="s">
        <v>44</v>
      </c>
      <c r="H16" s="9" t="s">
        <v>45</v>
      </c>
    </row>
    <row r="17" spans="1:8" ht="60" customHeight="1">
      <c r="A17" s="7" t="s">
        <v>46</v>
      </c>
      <c r="B17" s="8" t="s">
        <v>47</v>
      </c>
      <c r="C17" s="8" t="s">
        <v>48</v>
      </c>
      <c r="D17" s="8" t="s">
        <v>49</v>
      </c>
      <c r="E17" s="8" t="s">
        <v>50</v>
      </c>
      <c r="F17" s="8" t="s">
        <v>51</v>
      </c>
      <c r="G17" s="8" t="s">
        <v>52</v>
      </c>
      <c r="H17" s="9" t="s">
        <v>53</v>
      </c>
    </row>
    <row r="18" spans="1:8" ht="60" customHeight="1">
      <c r="A18" s="7" t="s">
        <v>54</v>
      </c>
      <c r="B18" s="8" t="s">
        <v>55</v>
      </c>
      <c r="C18" s="8" t="s">
        <v>56</v>
      </c>
      <c r="D18" s="8" t="s">
        <v>57</v>
      </c>
      <c r="E18" s="8" t="s">
        <v>58</v>
      </c>
      <c r="F18" s="8" t="s">
        <v>59</v>
      </c>
      <c r="G18" s="8" t="s">
        <v>60</v>
      </c>
      <c r="H18" s="9" t="s">
        <v>61</v>
      </c>
    </row>
    <row r="19" spans="1:8" ht="60" customHeight="1">
      <c r="A19" s="10" t="s">
        <v>62</v>
      </c>
      <c r="B19" s="11" t="s">
        <v>63</v>
      </c>
      <c r="C19" s="11" t="s">
        <v>64</v>
      </c>
      <c r="D19" s="11" t="s">
        <v>65</v>
      </c>
      <c r="E19" s="11" t="s">
        <v>66</v>
      </c>
      <c r="F19" s="11" t="s">
        <v>67</v>
      </c>
      <c r="G19" s="11" t="s">
        <v>68</v>
      </c>
      <c r="H19" s="12" t="s">
        <v>69</v>
      </c>
    </row>
  </sheetData>
  <mergeCells count="2">
    <mergeCell ref="A4:H4"/>
    <mergeCell ref="A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topLeftCell="A13" workbookViewId="0">
      <selection activeCell="J2" sqref="J2"/>
    </sheetView>
  </sheetViews>
  <sheetFormatPr defaultRowHeight="14.25"/>
  <cols>
    <col min="1" max="1" width="8" customWidth="1"/>
    <col min="2" max="2" width="22" customWidth="1"/>
    <col min="3" max="3" width="18" customWidth="1"/>
    <col min="4" max="4" width="34" customWidth="1"/>
    <col min="5" max="5" width="18" customWidth="1"/>
    <col min="6" max="7" width="16" customWidth="1"/>
    <col min="8" max="8" width="32" customWidth="1"/>
    <col min="9" max="9" width="16" customWidth="1"/>
    <col min="10" max="10" width="36" customWidth="1"/>
  </cols>
  <sheetData>
    <row r="1" spans="1:10" ht="30" customHeight="1">
      <c r="F1" s="35" t="s">
        <v>70</v>
      </c>
    </row>
    <row r="2" spans="1:10" ht="30" customHeight="1"/>
    <row r="4" spans="1:10" ht="14.25" customHeight="1"/>
    <row r="5" spans="1:10" ht="14.25" customHeight="1"/>
    <row r="7" spans="1:10" ht="15">
      <c r="A7" s="30" t="s">
        <v>71</v>
      </c>
      <c r="B7" s="29" t="s">
        <v>72</v>
      </c>
      <c r="C7" s="32" t="s">
        <v>8</v>
      </c>
      <c r="D7" s="32" t="s">
        <v>73</v>
      </c>
      <c r="E7" s="29" t="s">
        <v>20</v>
      </c>
      <c r="F7" s="29" t="s">
        <v>74</v>
      </c>
      <c r="G7" s="29" t="s">
        <v>75</v>
      </c>
      <c r="H7" s="29" t="s">
        <v>76</v>
      </c>
      <c r="I7" s="29" t="s">
        <v>77</v>
      </c>
      <c r="J7" s="31" t="s">
        <v>1</v>
      </c>
    </row>
    <row r="8" spans="1:10" ht="50.1" customHeight="1">
      <c r="A8" s="4" t="s">
        <v>78</v>
      </c>
      <c r="B8" s="5" t="s">
        <v>79</v>
      </c>
      <c r="C8" t="s">
        <v>46</v>
      </c>
      <c r="D8" t="s">
        <v>80</v>
      </c>
      <c r="E8" s="5" t="s">
        <v>81</v>
      </c>
      <c r="F8" s="5">
        <v>100</v>
      </c>
      <c r="G8" s="5" t="str">
        <f>IF(F8&gt;=100,"PASS","FAIL")</f>
        <v>PASS</v>
      </c>
      <c r="H8" s="5" t="s">
        <v>82</v>
      </c>
      <c r="I8" s="5" t="s">
        <v>83</v>
      </c>
      <c r="J8" s="6" t="s">
        <v>84</v>
      </c>
    </row>
    <row r="9" spans="1:10" ht="50.1" customHeight="1">
      <c r="A9" s="7" t="s">
        <v>78</v>
      </c>
      <c r="B9" s="8" t="s">
        <v>79</v>
      </c>
      <c r="C9" s="8" t="s">
        <v>54</v>
      </c>
      <c r="D9" s="8" t="s">
        <v>85</v>
      </c>
      <c r="E9" s="8" t="s">
        <v>86</v>
      </c>
      <c r="F9" s="8" t="s">
        <v>86</v>
      </c>
      <c r="G9" s="8" t="str">
        <f>IF(F9="PASS","PASS","FAIL")</f>
        <v>PASS</v>
      </c>
      <c r="H9" s="8" t="s">
        <v>87</v>
      </c>
      <c r="I9" s="8" t="s">
        <v>83</v>
      </c>
      <c r="J9" s="9" t="s">
        <v>88</v>
      </c>
    </row>
    <row r="10" spans="1:10" ht="50.1" customHeight="1">
      <c r="A10" s="7" t="s">
        <v>78</v>
      </c>
      <c r="B10" s="8" t="s">
        <v>79</v>
      </c>
      <c r="C10" s="8" t="s">
        <v>89</v>
      </c>
      <c r="D10" s="8" t="s">
        <v>90</v>
      </c>
      <c r="E10" s="8" t="s">
        <v>91</v>
      </c>
      <c r="F10" s="8">
        <v>0</v>
      </c>
      <c r="G10" s="8" t="str">
        <f>IF(F10=0,"PASS","FAIL")</f>
        <v>PASS</v>
      </c>
      <c r="H10" s="8" t="s">
        <v>92</v>
      </c>
      <c r="I10" s="8" t="s">
        <v>83</v>
      </c>
      <c r="J10" s="9" t="s">
        <v>93</v>
      </c>
    </row>
    <row r="11" spans="1:10" ht="50.1" customHeight="1">
      <c r="A11" s="7" t="s">
        <v>78</v>
      </c>
      <c r="B11" s="8" t="s">
        <v>79</v>
      </c>
      <c r="C11" s="8" t="s">
        <v>94</v>
      </c>
      <c r="D11" s="8" t="s">
        <v>95</v>
      </c>
      <c r="E11" s="8" t="s">
        <v>96</v>
      </c>
      <c r="F11" s="8">
        <v>1</v>
      </c>
      <c r="G11" s="8" t="str">
        <f>IF(F11&gt;=1,"PASS","FAIL")</f>
        <v>PASS</v>
      </c>
      <c r="H11" s="8" t="s">
        <v>97</v>
      </c>
      <c r="I11" s="8" t="s">
        <v>83</v>
      </c>
      <c r="J11" s="9" t="s">
        <v>98</v>
      </c>
    </row>
    <row r="12" spans="1:10" ht="50.1" customHeight="1">
      <c r="A12" s="7" t="s">
        <v>99</v>
      </c>
      <c r="B12" s="8" t="s">
        <v>100</v>
      </c>
      <c r="C12" s="8" t="s">
        <v>89</v>
      </c>
      <c r="D12" s="8" t="s">
        <v>90</v>
      </c>
      <c r="E12" s="8" t="s">
        <v>91</v>
      </c>
      <c r="F12" s="8">
        <v>0</v>
      </c>
      <c r="G12" s="8" t="str">
        <f>IF(F12=0,"PASS","FAIL")</f>
        <v>PASS</v>
      </c>
      <c r="H12" s="8" t="s">
        <v>101</v>
      </c>
      <c r="I12" s="8" t="s">
        <v>83</v>
      </c>
      <c r="J12" s="9" t="s">
        <v>102</v>
      </c>
    </row>
    <row r="13" spans="1:10" ht="50.1" customHeight="1">
      <c r="A13" s="7" t="s">
        <v>99</v>
      </c>
      <c r="B13" s="8" t="s">
        <v>100</v>
      </c>
      <c r="C13" s="8" t="s">
        <v>38</v>
      </c>
      <c r="D13" s="8" t="s">
        <v>103</v>
      </c>
      <c r="E13" s="8" t="s">
        <v>81</v>
      </c>
      <c r="F13" s="8">
        <v>100</v>
      </c>
      <c r="G13" s="8" t="str">
        <f>IF(F13&gt;=100,"PASS","FAIL")</f>
        <v>PASS</v>
      </c>
      <c r="H13" s="8" t="s">
        <v>104</v>
      </c>
      <c r="I13" s="8" t="s">
        <v>105</v>
      </c>
      <c r="J13" s="9" t="s">
        <v>106</v>
      </c>
    </row>
    <row r="14" spans="1:10" ht="50.1" customHeight="1">
      <c r="A14" s="7" t="s">
        <v>99</v>
      </c>
      <c r="B14" s="8" t="s">
        <v>100</v>
      </c>
      <c r="C14" s="8" t="s">
        <v>46</v>
      </c>
      <c r="D14" s="8" t="s">
        <v>107</v>
      </c>
      <c r="E14" s="8" t="s">
        <v>86</v>
      </c>
      <c r="F14" s="8" t="s">
        <v>86</v>
      </c>
      <c r="G14" s="8" t="str">
        <f>IF(F14="PASS","PASS","FAIL")</f>
        <v>PASS</v>
      </c>
      <c r="H14" s="8" t="s">
        <v>108</v>
      </c>
      <c r="I14" s="8" t="s">
        <v>109</v>
      </c>
      <c r="J14" s="9" t="s">
        <v>110</v>
      </c>
    </row>
    <row r="15" spans="1:10" ht="50.1" customHeight="1">
      <c r="A15" s="7" t="s">
        <v>99</v>
      </c>
      <c r="B15" s="8" t="s">
        <v>100</v>
      </c>
      <c r="C15" s="8" t="s">
        <v>54</v>
      </c>
      <c r="D15" s="8" t="s">
        <v>111</v>
      </c>
      <c r="E15" s="8" t="s">
        <v>86</v>
      </c>
      <c r="F15" s="8" t="s">
        <v>86</v>
      </c>
      <c r="G15" s="8" t="str">
        <f>IF(F15="PASS","PASS","FAIL")</f>
        <v>PASS</v>
      </c>
      <c r="H15" s="8" t="s">
        <v>108</v>
      </c>
      <c r="I15" s="8" t="s">
        <v>109</v>
      </c>
      <c r="J15" s="9" t="s">
        <v>112</v>
      </c>
    </row>
    <row r="16" spans="1:10" ht="50.1" customHeight="1">
      <c r="A16" s="7" t="s">
        <v>99</v>
      </c>
      <c r="B16" s="8" t="s">
        <v>100</v>
      </c>
      <c r="C16" s="8" t="s">
        <v>94</v>
      </c>
      <c r="D16" s="8" t="s">
        <v>113</v>
      </c>
      <c r="E16" s="8" t="s">
        <v>96</v>
      </c>
      <c r="F16" s="8">
        <v>1</v>
      </c>
      <c r="G16" s="8" t="str">
        <f>IF(F16&gt;=1,"PASS","FAIL")</f>
        <v>PASS</v>
      </c>
      <c r="H16" s="8" t="s">
        <v>114</v>
      </c>
      <c r="I16" s="8" t="s">
        <v>83</v>
      </c>
      <c r="J16" s="9" t="s">
        <v>115</v>
      </c>
    </row>
    <row r="17" spans="1:10" ht="50.1" customHeight="1">
      <c r="A17" s="10" t="s">
        <v>99</v>
      </c>
      <c r="B17" s="11" t="s">
        <v>100</v>
      </c>
      <c r="C17" s="11" t="s">
        <v>62</v>
      </c>
      <c r="D17" s="11" t="s">
        <v>116</v>
      </c>
      <c r="E17" s="11" t="s">
        <v>86</v>
      </c>
      <c r="F17" s="11" t="s">
        <v>86</v>
      </c>
      <c r="G17" s="11" t="str">
        <f>IF(F17="PASS","PASS","FAIL")</f>
        <v>PASS</v>
      </c>
      <c r="H17" s="11" t="s">
        <v>117</v>
      </c>
      <c r="I17" s="11" t="s">
        <v>109</v>
      </c>
      <c r="J17" s="12" t="s">
        <v>118</v>
      </c>
    </row>
    <row r="19" spans="1:10" ht="21.95" customHeight="1">
      <c r="A19" s="33" t="s">
        <v>119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ht="15">
      <c r="A20" s="1" t="s">
        <v>71</v>
      </c>
      <c r="B20" s="3" t="s">
        <v>120</v>
      </c>
    </row>
    <row r="21" spans="1:10" ht="25.5">
      <c r="A21" s="4" t="s">
        <v>79</v>
      </c>
      <c r="B21" s="6" t="str">
        <f>IF(COUNTIF(G8:G11,"FAIL")&gt;0,"BLOCK","PASS → Cho phép Reviewed")</f>
        <v>PASS → Cho phép Reviewed</v>
      </c>
    </row>
    <row r="22" spans="1:10" ht="38.25">
      <c r="A22" s="10" t="s">
        <v>100</v>
      </c>
      <c r="B22" s="12" t="str">
        <f>IF(COUNTIF(G12:G17,"FAIL")&gt;0,"BLOCK","PASS → Cho phép Published")</f>
        <v>PASS → Cho phép Published</v>
      </c>
    </row>
  </sheetData>
  <mergeCells count="1">
    <mergeCell ref="A19:J19"/>
  </mergeCells>
  <conditionalFormatting sqref="G8:G17">
    <cfRule type="expression" dxfId="9" priority="1">
      <formula>G8="PASS"</formula>
    </cfRule>
    <cfRule type="expression" dxfId="8" priority="2">
      <formula>G8="FAIL"</formula>
    </cfRule>
  </conditionalFormatting>
  <conditionalFormatting sqref="B21:B22">
    <cfRule type="expression" dxfId="7" priority="3">
      <formula>LEFT(B21,5)="BLOCK"</formula>
    </cfRule>
    <cfRule type="expression" dxfId="6" priority="4">
      <formula>LEFT(B21,4)="PASS"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F6" sqref="F6"/>
    </sheetView>
  </sheetViews>
  <sheetFormatPr defaultRowHeight="14.25"/>
  <cols>
    <col min="1" max="1" width="18" customWidth="1"/>
    <col min="2" max="2" width="40" customWidth="1"/>
    <col min="3" max="3" width="38" customWidth="1"/>
    <col min="4" max="4" width="26" customWidth="1"/>
    <col min="5" max="5" width="20" customWidth="1"/>
    <col min="6" max="6" width="36" customWidth="1"/>
    <col min="7" max="7" width="18" customWidth="1"/>
  </cols>
  <sheetData>
    <row r="1" spans="1:7" ht="30" customHeight="1">
      <c r="D1" s="35" t="s">
        <v>121</v>
      </c>
    </row>
    <row r="2" spans="1:7" ht="30" customHeight="1"/>
    <row r="4" spans="1:7" ht="14.25" customHeight="1">
      <c r="A4" s="36" t="s">
        <v>122</v>
      </c>
    </row>
    <row r="5" spans="1:7" ht="14.25" customHeight="1"/>
    <row r="7" spans="1:7" ht="15">
      <c r="A7" s="1" t="s">
        <v>123</v>
      </c>
      <c r="B7" s="2" t="s">
        <v>124</v>
      </c>
      <c r="C7" s="2" t="s">
        <v>17</v>
      </c>
      <c r="D7" s="2" t="s">
        <v>125</v>
      </c>
      <c r="E7" s="2" t="s">
        <v>77</v>
      </c>
      <c r="F7" s="2" t="s">
        <v>126</v>
      </c>
      <c r="G7" s="3" t="s">
        <v>127</v>
      </c>
    </row>
    <row r="8" spans="1:7" ht="54.95" customHeight="1">
      <c r="A8" s="14" t="s">
        <v>128</v>
      </c>
      <c r="B8" s="15" t="s">
        <v>129</v>
      </c>
      <c r="C8" s="15" t="s">
        <v>130</v>
      </c>
      <c r="D8" s="15" t="s">
        <v>131</v>
      </c>
      <c r="E8" s="15" t="s">
        <v>132</v>
      </c>
      <c r="F8" s="15" t="s">
        <v>133</v>
      </c>
      <c r="G8" s="16" t="s">
        <v>134</v>
      </c>
    </row>
    <row r="9" spans="1:7" ht="54.95" customHeight="1">
      <c r="A9" s="17" t="s">
        <v>135</v>
      </c>
      <c r="B9" s="18" t="s">
        <v>136</v>
      </c>
      <c r="C9" s="18" t="s">
        <v>137</v>
      </c>
      <c r="D9" s="18" t="s">
        <v>138</v>
      </c>
      <c r="E9" s="18" t="s">
        <v>139</v>
      </c>
      <c r="F9" s="18" t="s">
        <v>140</v>
      </c>
      <c r="G9" s="19" t="s">
        <v>141</v>
      </c>
    </row>
    <row r="10" spans="1:7" ht="54.95" customHeight="1">
      <c r="A10" s="20" t="s">
        <v>142</v>
      </c>
      <c r="B10" s="13" t="s">
        <v>143</v>
      </c>
      <c r="C10" s="13" t="s">
        <v>144</v>
      </c>
      <c r="D10" s="13" t="s">
        <v>145</v>
      </c>
      <c r="E10" s="13" t="s">
        <v>146</v>
      </c>
      <c r="F10" s="13" t="s">
        <v>147</v>
      </c>
      <c r="G10" s="21" t="s">
        <v>148</v>
      </c>
    </row>
    <row r="11" spans="1:7" ht="54.95" customHeight="1">
      <c r="A11" s="22" t="s">
        <v>149</v>
      </c>
      <c r="B11" s="23" t="s">
        <v>150</v>
      </c>
      <c r="C11" s="23" t="s">
        <v>151</v>
      </c>
      <c r="D11" s="23" t="s">
        <v>152</v>
      </c>
      <c r="E11" s="23" t="s">
        <v>146</v>
      </c>
      <c r="F11" s="23" t="s">
        <v>153</v>
      </c>
      <c r="G11" s="24" t="s">
        <v>154</v>
      </c>
    </row>
    <row r="13" spans="1:7" ht="21.95" customHeight="1">
      <c r="A13" s="33" t="s">
        <v>155</v>
      </c>
      <c r="B13" s="33"/>
      <c r="C13" s="33"/>
      <c r="D13" s="33"/>
      <c r="E13" s="33"/>
      <c r="F13" s="33"/>
      <c r="G13" s="33"/>
    </row>
    <row r="14" spans="1:7" ht="15" customHeight="1">
      <c r="A14" s="1" t="s">
        <v>156</v>
      </c>
      <c r="B14" s="3" t="s">
        <v>74</v>
      </c>
      <c r="D14" s="34" t="s">
        <v>157</v>
      </c>
      <c r="E14" s="34"/>
      <c r="F14" s="34"/>
      <c r="G14" s="34"/>
    </row>
    <row r="15" spans="1:7" ht="14.25" customHeight="1">
      <c r="A15" s="4" t="s">
        <v>158</v>
      </c>
      <c r="B15" s="6">
        <v>0</v>
      </c>
      <c r="D15" s="34"/>
      <c r="E15" s="34"/>
      <c r="F15" s="34"/>
      <c r="G15" s="34"/>
    </row>
    <row r="16" spans="1:7" ht="14.25" customHeight="1">
      <c r="A16" s="7" t="s">
        <v>159</v>
      </c>
      <c r="B16" s="9">
        <v>1</v>
      </c>
      <c r="D16" s="34"/>
      <c r="E16" s="34"/>
      <c r="F16" s="34"/>
      <c r="G16" s="34"/>
    </row>
    <row r="17" spans="1:7" ht="14.25" customHeight="1">
      <c r="A17" s="7" t="s">
        <v>160</v>
      </c>
      <c r="B17" s="9" t="s">
        <v>161</v>
      </c>
      <c r="D17" s="34"/>
      <c r="E17" s="34"/>
      <c r="F17" s="34"/>
      <c r="G17" s="34"/>
    </row>
    <row r="18" spans="1:7" ht="14.25" customHeight="1">
      <c r="A18" s="10" t="s">
        <v>162</v>
      </c>
      <c r="B18" s="12" t="str">
        <f>IF(B15&gt;0,"BLOCK – Có Critical defect",IF(AND(B16&gt;0,B17&lt;&gt;"YES"),"BLOCK – High chưa có waiver","GO / CONDITIONAL GO"))</f>
        <v>GO / CONDITIONAL GO</v>
      </c>
      <c r="D18" s="34"/>
      <c r="E18" s="34"/>
      <c r="F18" s="34"/>
      <c r="G18" s="34"/>
    </row>
  </sheetData>
  <mergeCells count="2">
    <mergeCell ref="A13:G13"/>
    <mergeCell ref="D14:G18"/>
  </mergeCells>
  <conditionalFormatting sqref="B18">
    <cfRule type="expression" dxfId="5" priority="1">
      <formula>LEFT(B18,5)="BLOCK"</formula>
    </cfRule>
    <cfRule type="expression" dxfId="4" priority="2">
      <formula>LEFT(B18,2)="GO"</formula>
    </cfRule>
  </conditionalFormatting>
  <dataValidations count="1">
    <dataValidation type="list" sqref="B17" xr:uid="{00000000-0002-0000-03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topLeftCell="C4" workbookViewId="0">
      <selection activeCell="K8" sqref="K8:L8"/>
    </sheetView>
  </sheetViews>
  <sheetFormatPr defaultRowHeight="14.25"/>
  <cols>
    <col min="1" max="1" width="14" customWidth="1"/>
    <col min="2" max="2" width="16" customWidth="1"/>
    <col min="3" max="3" width="18" customWidth="1"/>
    <col min="4" max="5" width="34" customWidth="1"/>
    <col min="6" max="6" width="40" customWidth="1"/>
    <col min="7" max="7" width="18" customWidth="1"/>
    <col min="8" max="8" width="20" customWidth="1"/>
    <col min="9" max="10" width="15" customWidth="1"/>
    <col min="11" max="12" width="14" customWidth="1"/>
  </cols>
  <sheetData>
    <row r="1" spans="1:12" ht="30" customHeight="1">
      <c r="E1" t="s">
        <v>163</v>
      </c>
    </row>
    <row r="2" spans="1:12" ht="30" customHeight="1"/>
    <row r="4" spans="1:12" ht="14.25" customHeight="1"/>
    <row r="5" spans="1:12" ht="14.25" customHeight="1"/>
    <row r="7" spans="1:12" ht="15">
      <c r="A7" s="1" t="s">
        <v>164</v>
      </c>
      <c r="B7" s="2" t="s">
        <v>165</v>
      </c>
      <c r="C7" s="2" t="s">
        <v>123</v>
      </c>
      <c r="D7" s="2" t="s">
        <v>166</v>
      </c>
      <c r="E7" s="2" t="s">
        <v>167</v>
      </c>
      <c r="F7" s="2" t="s">
        <v>168</v>
      </c>
      <c r="G7" s="2" t="s">
        <v>169</v>
      </c>
      <c r="H7" s="2" t="s">
        <v>170</v>
      </c>
      <c r="I7" s="2" t="s">
        <v>171</v>
      </c>
      <c r="J7" s="2" t="s">
        <v>172</v>
      </c>
      <c r="K7" s="2" t="s">
        <v>173</v>
      </c>
      <c r="L7" s="3" t="s">
        <v>174</v>
      </c>
    </row>
    <row r="8" spans="1:12" ht="78" customHeight="1">
      <c r="A8" s="25" t="s">
        <v>175</v>
      </c>
      <c r="B8" s="26" t="s">
        <v>176</v>
      </c>
      <c r="C8" s="26" t="s">
        <v>135</v>
      </c>
      <c r="D8" s="26" t="s">
        <v>177</v>
      </c>
      <c r="E8" s="26" t="s">
        <v>178</v>
      </c>
      <c r="F8" s="26" t="s">
        <v>179</v>
      </c>
      <c r="G8" s="26" t="s">
        <v>180</v>
      </c>
      <c r="H8" s="26" t="s">
        <v>181</v>
      </c>
      <c r="I8" s="28"/>
      <c r="J8" s="28"/>
      <c r="K8" s="26" t="s">
        <v>182</v>
      </c>
      <c r="L8" s="27" t="str">
        <f ca="1">IF(A8="","",IF(AND(H8&lt;&gt;"",I8&lt;&gt;"",J8&lt;&gt;"",J8&gt;=TODAY(),K8="Active",C8&lt;&gt;"S1 - Critical"),"VALID","INVALID"))</f>
        <v>INVALID</v>
      </c>
    </row>
    <row r="9" spans="1:12">
      <c r="L9" t="str">
        <f ca="1">IF(A9="","",IF(AND(H9&lt;&gt;"",I9&lt;&gt;"",J9&lt;&gt;"",J9&gt;=TODAY(),K9="Active",C9&lt;&gt;"S2 - Critical"),"VALID","INVALID"))</f>
        <v/>
      </c>
    </row>
    <row r="10" spans="1:12">
      <c r="A10" s="25"/>
      <c r="B10" s="26"/>
      <c r="C10" s="26"/>
      <c r="D10" s="26"/>
      <c r="E10" s="26"/>
      <c r="F10" s="26"/>
      <c r="G10" s="26"/>
      <c r="H10" s="26"/>
      <c r="I10" s="28"/>
      <c r="J10" s="28"/>
      <c r="K10" s="26"/>
      <c r="L10" t="str">
        <f ca="1">IF(A10="","",IF(AND(H10&lt;&gt;"",I10&lt;&gt;"",J10&lt;&gt;"",J10&gt;=TODAY(),K10="Active",C10&lt;&gt;"S3 - Critical"),"VALID","INVALID"))</f>
        <v/>
      </c>
    </row>
    <row r="11" spans="1:12" ht="21.95" customHeight="1">
      <c r="A11" s="25"/>
      <c r="B11" s="26"/>
      <c r="C11" s="26"/>
      <c r="D11" s="26"/>
      <c r="E11" s="26"/>
      <c r="F11" s="26"/>
      <c r="G11" s="26"/>
      <c r="H11" s="26"/>
      <c r="I11" s="28"/>
      <c r="J11" s="28"/>
      <c r="K11" s="26"/>
      <c r="L11" s="28"/>
    </row>
    <row r="12" spans="1:12">
      <c r="A12" s="25"/>
      <c r="B12" s="26"/>
      <c r="C12" s="26"/>
      <c r="D12" s="26"/>
      <c r="E12" s="26"/>
      <c r="F12" s="26"/>
      <c r="G12" s="26"/>
      <c r="H12" s="26"/>
      <c r="I12" s="28"/>
      <c r="J12" s="28"/>
      <c r="K12" s="26"/>
      <c r="L12" s="28"/>
    </row>
    <row r="13" spans="1:12">
      <c r="A13" s="25"/>
      <c r="B13" s="26"/>
      <c r="C13" s="26"/>
      <c r="D13" s="26"/>
      <c r="E13" s="26"/>
      <c r="F13" s="26"/>
      <c r="G13" s="26"/>
      <c r="H13" s="26"/>
      <c r="I13" s="28"/>
      <c r="J13" s="28"/>
      <c r="K13" s="26"/>
      <c r="L13" s="28"/>
    </row>
    <row r="14" spans="1:12">
      <c r="A14" s="25"/>
      <c r="B14" s="26"/>
      <c r="C14" s="26"/>
      <c r="D14" s="26"/>
      <c r="E14" s="26"/>
      <c r="F14" s="26"/>
      <c r="G14" s="26"/>
      <c r="H14" s="26"/>
      <c r="I14" s="28"/>
      <c r="J14" s="28"/>
      <c r="K14" s="26"/>
      <c r="L14" s="28"/>
    </row>
    <row r="15" spans="1:12">
      <c r="A15" s="25"/>
      <c r="B15" s="26"/>
      <c r="C15" s="26"/>
      <c r="D15" s="26"/>
      <c r="E15" s="26"/>
      <c r="F15" s="26"/>
      <c r="G15" s="26"/>
      <c r="H15" s="26"/>
      <c r="I15" s="28"/>
      <c r="J15" s="28"/>
      <c r="K15" s="26"/>
      <c r="L15" s="28"/>
    </row>
    <row r="16" spans="1:12">
      <c r="A16" s="25"/>
      <c r="B16" s="26"/>
      <c r="C16" s="26"/>
      <c r="D16" s="26"/>
      <c r="E16" s="26"/>
      <c r="F16" s="26"/>
      <c r="G16" s="26"/>
      <c r="H16" s="26"/>
      <c r="I16" s="28"/>
      <c r="J16" s="28"/>
      <c r="K16" s="26"/>
      <c r="L16" s="28"/>
    </row>
    <row r="17" spans="1:12" ht="15.75">
      <c r="A17" s="33" t="s">
        <v>183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ht="15">
      <c r="A18" s="1" t="s">
        <v>0</v>
      </c>
      <c r="B18" s="2" t="s">
        <v>184</v>
      </c>
      <c r="C18" s="2" t="s">
        <v>185</v>
      </c>
      <c r="D18" s="3" t="s">
        <v>186</v>
      </c>
    </row>
    <row r="19" spans="1:12" ht="25.5">
      <c r="A19" s="4" t="s">
        <v>187</v>
      </c>
      <c r="B19" s="5" t="s">
        <v>188</v>
      </c>
      <c r="C19" s="5" t="s">
        <v>176</v>
      </c>
      <c r="D19" s="6" t="s">
        <v>189</v>
      </c>
    </row>
    <row r="20" spans="1:12">
      <c r="A20" s="7" t="s">
        <v>190</v>
      </c>
      <c r="B20" s="8" t="s">
        <v>188</v>
      </c>
      <c r="C20" s="8" t="s">
        <v>135</v>
      </c>
      <c r="D20" s="9" t="s">
        <v>191</v>
      </c>
    </row>
    <row r="21" spans="1:12">
      <c r="A21" s="7" t="s">
        <v>192</v>
      </c>
      <c r="B21" s="8" t="s">
        <v>188</v>
      </c>
      <c r="C21" s="8" t="s">
        <v>180</v>
      </c>
      <c r="D21" s="9" t="s">
        <v>193</v>
      </c>
    </row>
    <row r="22" spans="1:12">
      <c r="A22" s="7" t="s">
        <v>194</v>
      </c>
      <c r="B22" s="8" t="s">
        <v>188</v>
      </c>
      <c r="C22" s="8" t="s">
        <v>181</v>
      </c>
      <c r="D22" s="9" t="s">
        <v>195</v>
      </c>
    </row>
    <row r="23" spans="1:12">
      <c r="A23" s="7" t="s">
        <v>196</v>
      </c>
      <c r="B23" s="8" t="s">
        <v>188</v>
      </c>
      <c r="C23" s="8" t="s">
        <v>197</v>
      </c>
      <c r="D23" s="9" t="s">
        <v>195</v>
      </c>
    </row>
    <row r="24" spans="1:12">
      <c r="A24" s="7" t="s">
        <v>198</v>
      </c>
      <c r="B24" s="8" t="s">
        <v>188</v>
      </c>
      <c r="C24" s="8" t="s">
        <v>199</v>
      </c>
      <c r="D24" s="9" t="s">
        <v>195</v>
      </c>
    </row>
    <row r="25" spans="1:12" ht="25.5">
      <c r="A25" s="10" t="s">
        <v>200</v>
      </c>
      <c r="B25" s="11" t="s">
        <v>188</v>
      </c>
      <c r="C25" s="11" t="s">
        <v>201</v>
      </c>
      <c r="D25" s="12" t="s">
        <v>202</v>
      </c>
    </row>
    <row r="26" spans="1:12">
      <c r="L26" t="str">
        <f ca="1">IF(A26="","",IF(AND(H26&lt;&gt;"",I26&lt;&gt;"",J26&lt;&gt;"",J26&gt;=TODAY(),K26="Active",C26&lt;&gt;"S19 - Critical"),"VALID","INVALID"))</f>
        <v/>
      </c>
    </row>
    <row r="27" spans="1:12">
      <c r="L27" t="str">
        <f ca="1">IF(A27="","",IF(AND(H27&lt;&gt;"",I27&lt;&gt;"",J27&lt;&gt;"",J27&gt;=TODAY(),K27="Active",C27&lt;&gt;"S20 - Critical"),"VALID","INVALID"))</f>
        <v/>
      </c>
    </row>
    <row r="28" spans="1:12">
      <c r="L28" t="str">
        <f ca="1">IF(A28="","",IF(AND(H28&lt;&gt;"",I28&lt;&gt;"",J28&lt;&gt;"",J28&gt;=TODAY(),K28="Active",C28&lt;&gt;"S21 - Critical"),"VALID","INVALID"))</f>
        <v/>
      </c>
    </row>
    <row r="29" spans="1:12">
      <c r="L29" t="str">
        <f ca="1">IF(A29="","",IF(AND(H29&lt;&gt;"",I29&lt;&gt;"",J29&lt;&gt;"",J29&gt;=TODAY(),K29="Active",C29&lt;&gt;"S22 - Critical"),"VALID","INVALID"))</f>
        <v/>
      </c>
    </row>
    <row r="30" spans="1:12">
      <c r="L30" t="str">
        <f ca="1">IF(A30="","",IF(AND(H30&lt;&gt;"",I30&lt;&gt;"",J30&lt;&gt;"",J30&gt;=TODAY(),K30="Active",C30&lt;&gt;"S23 - Critical"),"VALID","INVALID"))</f>
        <v/>
      </c>
    </row>
    <row r="31" spans="1:12">
      <c r="L31" t="str">
        <f ca="1">IF(A31="","",IF(AND(H31&lt;&gt;"",I31&lt;&gt;"",J31&lt;&gt;"",J31&gt;=TODAY(),K31="Active",C31&lt;&gt;"S24 - Critical"),"VALID","INVALID"))</f>
        <v/>
      </c>
    </row>
    <row r="32" spans="1:12">
      <c r="L32" t="str">
        <f ca="1">IF(A32="","",IF(AND(H32&lt;&gt;"",I32&lt;&gt;"",J32&lt;&gt;"",J32&gt;=TODAY(),K32="Active",C32&lt;&gt;"S25 - Critical"),"VALID","INVALID"))</f>
        <v/>
      </c>
    </row>
    <row r="33" spans="12:12">
      <c r="L33" t="str">
        <f ca="1">IF(A33="","",IF(AND(H33&lt;&gt;"",I33&lt;&gt;"",J33&lt;&gt;"",J33&gt;=TODAY(),K33="Active",C33&lt;&gt;"S26 - Critical"),"VALID","INVALID"))</f>
        <v/>
      </c>
    </row>
    <row r="34" spans="12:12">
      <c r="L34" t="str">
        <f ca="1">IF(A34="","",IF(AND(H34&lt;&gt;"",I34&lt;&gt;"",J34&lt;&gt;"",J34&gt;=TODAY(),K34="Active",C34&lt;&gt;"S27 - Critical"),"VALID","INVALID"))</f>
        <v/>
      </c>
    </row>
    <row r="35" spans="12:12">
      <c r="L35" t="str">
        <f ca="1">IF(A35="","",IF(AND(H35&lt;&gt;"",I35&lt;&gt;"",J35&lt;&gt;"",J35&gt;=TODAY(),K35="Active",C35&lt;&gt;"S28 - Critical"),"VALID","INVALID"))</f>
        <v/>
      </c>
    </row>
    <row r="36" spans="12:12">
      <c r="L36" t="str">
        <f ca="1">IF(A36="","",IF(AND(H36&lt;&gt;"",I36&lt;&gt;"",J36&lt;&gt;"",J36&gt;=TODAY(),K36="Active",C36&lt;&gt;"S29 - Critical"),"VALID","INVALID"))</f>
        <v/>
      </c>
    </row>
    <row r="37" spans="12:12">
      <c r="L37" t="str">
        <f ca="1">IF(A37="","",IF(AND(H37&lt;&gt;"",I37&lt;&gt;"",J37&lt;&gt;"",J37&gt;=TODAY(),K37="Active",C37&lt;&gt;"S30 - Critical"),"VALID","INVALID"))</f>
        <v/>
      </c>
    </row>
    <row r="38" spans="12:12">
      <c r="L38" t="str">
        <f ca="1">IF(A38="","",IF(AND(H38&lt;&gt;"",I38&lt;&gt;"",J38&lt;&gt;"",J38&gt;=TODAY(),K38="Active",C38&lt;&gt;"S31 - Critical"),"VALID","INVALID"))</f>
        <v/>
      </c>
    </row>
    <row r="39" spans="12:12">
      <c r="L39" t="str">
        <f ca="1">IF(A39="","",IF(AND(H39&lt;&gt;"",I39&lt;&gt;"",J39&lt;&gt;"",J39&gt;=TODAY(),K39="Active",C39&lt;&gt;"S32 - Critical"),"VALID","INVALID"))</f>
        <v/>
      </c>
    </row>
    <row r="40" spans="12:12">
      <c r="L40" t="str">
        <f ca="1">IF(A40="","",IF(AND(H40&lt;&gt;"",I40&lt;&gt;"",J40&lt;&gt;"",J40&gt;=TODAY(),K40="Active",C40&lt;&gt;"S33 - Critical"),"VALID","INVALID"))</f>
        <v/>
      </c>
    </row>
    <row r="41" spans="12:12">
      <c r="L41" t="str">
        <f ca="1">IF(A41="","",IF(AND(H41&lt;&gt;"",I41&lt;&gt;"",J41&lt;&gt;"",J41&gt;=TODAY(),K41="Active",C41&lt;&gt;"S34 - Critical"),"VALID","INVALID"))</f>
        <v/>
      </c>
    </row>
    <row r="42" spans="12:12">
      <c r="L42" t="str">
        <f ca="1">IF(A42="","",IF(AND(H42&lt;&gt;"",I42&lt;&gt;"",J42&lt;&gt;"",J42&gt;=TODAY(),K42="Active",C42&lt;&gt;"S35 - Critical"),"VALID","INVALID"))</f>
        <v/>
      </c>
    </row>
    <row r="43" spans="12:12">
      <c r="L43" t="str">
        <f ca="1">IF(A43="","",IF(AND(H43&lt;&gt;"",I43&lt;&gt;"",J43&lt;&gt;"",J43&gt;=TODAY(),K43="Active",C43&lt;&gt;"S36 - Critical"),"VALID","INVALID"))</f>
        <v/>
      </c>
    </row>
    <row r="44" spans="12:12">
      <c r="L44" t="str">
        <f ca="1">IF(A44="","",IF(AND(H44&lt;&gt;"",I44&lt;&gt;"",J44&lt;&gt;"",J44&gt;=TODAY(),K44="Active",C44&lt;&gt;"S37 - Critical"),"VALID","INVALID"))</f>
        <v/>
      </c>
    </row>
    <row r="45" spans="12:12">
      <c r="L45" t="str">
        <f ca="1">IF(A45="","",IF(AND(H45&lt;&gt;"",I45&lt;&gt;"",J45&lt;&gt;"",J45&gt;=TODAY(),K45="Active",C45&lt;&gt;"S38 - Critical"),"VALID","INVALID"))</f>
        <v/>
      </c>
    </row>
    <row r="46" spans="12:12">
      <c r="L46" t="str">
        <f ca="1">IF(A46="","",IF(AND(H46&lt;&gt;"",I46&lt;&gt;"",J46&lt;&gt;"",J46&gt;=TODAY(),K46="Active",C46&lt;&gt;"S39 - Critical"),"VALID","INVALID"))</f>
        <v/>
      </c>
    </row>
    <row r="47" spans="12:12">
      <c r="L47" t="str">
        <f ca="1">IF(A47="","",IF(AND(H47&lt;&gt;"",I47&lt;&gt;"",J47&lt;&gt;"",J47&gt;=TODAY(),K47="Active",C47&lt;&gt;"S40 - Critical"),"VALID","INVALID"))</f>
        <v/>
      </c>
    </row>
    <row r="48" spans="12:12">
      <c r="L48" t="str">
        <f ca="1">IF(A48="","",IF(AND(H48&lt;&gt;"",I48&lt;&gt;"",J48&lt;&gt;"",J48&gt;=TODAY(),K48="Active",C48&lt;&gt;"S41 - Critical"),"VALID","INVALID"))</f>
        <v/>
      </c>
    </row>
    <row r="49" spans="12:12">
      <c r="L49" t="str">
        <f ca="1">IF(A49="","",IF(AND(H49&lt;&gt;"",I49&lt;&gt;"",J49&lt;&gt;"",J49&gt;=TODAY(),K49="Active",C49&lt;&gt;"S42 - Critical"),"VALID","INVALID"))</f>
        <v/>
      </c>
    </row>
    <row r="50" spans="12:12">
      <c r="L50" t="str">
        <f ca="1">IF(A50="","",IF(AND(H50&lt;&gt;"",I50&lt;&gt;"",J50&lt;&gt;"",J50&gt;=TODAY(),K50="Active",C50&lt;&gt;"S43 - Critical"),"VALID","INVALID"))</f>
        <v/>
      </c>
    </row>
    <row r="53" spans="12:12" ht="21.95" customHeight="1"/>
    <row r="55" spans="12:12" ht="26.1" customHeight="1"/>
    <row r="56" spans="12:12" ht="26.1" customHeight="1"/>
    <row r="57" spans="12:12" ht="26.1" customHeight="1"/>
    <row r="58" spans="12:12" ht="26.1" customHeight="1"/>
    <row r="59" spans="12:12" ht="26.1" customHeight="1"/>
    <row r="60" spans="12:12" ht="26.1" customHeight="1"/>
    <row r="61" spans="12:12" ht="26.1" customHeight="1"/>
  </sheetData>
  <mergeCells count="1">
    <mergeCell ref="A17:L17"/>
  </mergeCells>
  <conditionalFormatting sqref="L8:L10 L26:L50">
    <cfRule type="expression" dxfId="3" priority="2">
      <formula>L8="VALID"</formula>
    </cfRule>
    <cfRule type="expression" dxfId="2" priority="3">
      <formula>L8="INVALID"</formula>
    </cfRule>
  </conditionalFormatting>
  <conditionalFormatting sqref="J8:J9 J26:J50">
    <cfRule type="expression" dxfId="1" priority="4">
      <formula>AND(J8&lt;&gt;"",J8&lt;TODAY())</formula>
    </cfRule>
  </conditionalFormatting>
  <conditionalFormatting sqref="J10:J16">
    <cfRule type="expression" dxfId="0" priority="1">
      <formula>AND(J10&lt;&gt;"",J10&lt;TODAY())</formula>
    </cfRule>
  </conditionalFormatting>
  <dataValidations count="2">
    <dataValidation type="list" sqref="C8:C50" xr:uid="{00000000-0002-0000-0400-000000000000}">
      <formula1>"S1 - Critical,S2 - High,S3 - Medium,S4 - Low"</formula1>
    </dataValidation>
    <dataValidation type="list" sqref="K8:K50" xr:uid="{00000000-0002-0000-0400-000001000000}">
      <formula1>"Active,Expired,Closed"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01_TestStrategy</vt:lpstr>
      <vt:lpstr>02_QualityGates</vt:lpstr>
      <vt:lpstr>03_SeverityPolicy</vt:lpstr>
      <vt:lpstr>04_ReleaseWaiver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2026-08-31T09:42:57Z</dcterms:modified>
</cp:coreProperties>
</file>