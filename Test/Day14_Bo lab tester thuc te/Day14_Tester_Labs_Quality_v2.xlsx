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e28b6d802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BAT_DAU" sheetId="1" r:id="Re868285748594b73"/>
    <x:sheet xmlns:r="http://schemas.openxmlformats.org/officeDocument/2006/relationships" name="01_Lab_Catalog" sheetId="2" r:id="R432068e49b8b4f21"/>
    <x:sheet xmlns:r="http://schemas.openxmlformats.org/officeDocument/2006/relationships" name="02_Fault_Manifest" sheetId="3" r:id="R38e077496f3440d9"/>
    <x:sheet xmlns:r="http://schemas.openxmlformats.org/officeDocument/2006/relationships" name="03_Lab_Spec" sheetId="4" r:id="R880851a5b75e4c22"/>
    <x:sheet xmlns:r="http://schemas.openxmlformats.org/officeDocument/2006/relationships" name="04_Rubric" sheetId="5" r:id="Red6bc27a78f343d0"/>
    <x:sheet xmlns:r="http://schemas.openxmlformats.org/officeDocument/2006/relationships" name="05_Artifact_Matrix" sheetId="6" r:id="Refc4d15b898243ea"/>
    <x:sheet xmlns:r="http://schemas.openxmlformats.org/officeDocument/2006/relationships" name="06_Execution" sheetId="7" r:id="R6d3e7516835440be"/>
    <x:sheet xmlns:r="http://schemas.openxmlformats.org/officeDocument/2006/relationships" name="08_AI_Worklog" sheetId="8" r:id="R7888546f100746d6"/>
    <x:sheet xmlns:r="http://schemas.openxmlformats.org/officeDocument/2006/relationships" name="09_Instructor_Guide" sheetId="9" r:id="Rd1cd30920cfe4847"/>
    <x:sheet xmlns:r="http://schemas.openxmlformats.org/officeDocument/2006/relationships" name="07_Reset_Verification" sheetId="10" r:id="R943c319faf254c9d"/>
    <x:sheet xmlns:r="http://schemas.openxmlformats.org/officeDocument/2006/relationships" name="10_Recheck_11_10" sheetId="11" r:id="R4f3d39427de54559"/>
  </x:sheets>
</x:workbook>
</file>

<file path=xl/sharedStrings.xml><?xml version="1.0" encoding="utf-8"?>
<x:sst xmlns:x="http://schemas.openxmlformats.org/spreadsheetml/2006/main">
  <x:si>
    <x:t xml:space="preserve">NGÀY 14 — Bộ lab Tester thực tế</x:t>
  </x:si>
  <x:si>
    <x:t xml:space="preserve">Mục tiêu: thiết kế 12 lab từ manual tới automation; mỗi lab có fault/fixture chủ đích, artifact nghề nghiệp, rubric/solution và cơ chế reset.</x:t>
  </x:si>
  <x:si>
    <x:t xml:space="preserve">A. TỔNG QUAN NGÀY 14</x:t>
  </x:si>
  <x:si>
    <x:t xml:space="preserve">Hạng mục</x:t>
  </x:si>
  <x:si>
    <x:t xml:space="preserve">Nội dung</x:t>
  </x:si>
  <x:si>
    <x:t xml:space="preserve">Người thực hiện</x:t>
  </x:si>
  <x:si>
    <x:t xml:space="preserve">Tran_Quoc_Nguyen</x:t>
  </x:si>
  <x:si>
    <x:t xml:space="preserve">Ngày</x:t>
  </x:si>
  <x:si>
    <x:t xml:space="preserve">21/09/2026</x:t>
  </x:si>
  <x:si>
    <x:t xml:space="preserve">Giai đoạn</x:t>
  </x:si>
  <x:si>
    <x:t xml:space="preserve">Tuần 3 — Học liệu và đề thi</x:t>
  </x:si>
  <x:si>
    <x:t xml:space="preserve">Kết quả chính</x:t>
  </x:si>
  <x:si>
    <x:t xml:space="preserve">12 lab chạy trên 6 web demo CyberSoft; mỗi lab có fixture clean/buggy cục bộ, không dùng web lab tự dựng.</x:t>
  </x:si>
  <x:si>
    <x:t xml:space="preserve">Việc bắt buộc</x:t>
  </x:si>
  <x:si>
    <x:t xml:space="preserve">Manual (demo2/demo1/demo5), API Postman+Swagger (demo6/demo3/demo4), Data qua API + SQL offline, Automation Playwright (demo2/demo1).</x:t>
  </x:si>
  <x:si>
    <x:t xml:space="preserve">Bàn giao</x:t>
  </x:si>
  <x:si>
    <x:t xml:space="preserve">12 TASK/GUIDE, Postman starter, Playwright read-only, 12 fixture reset được, SQLite và workbook này.</x:t>
  </x:si>
  <x:si>
    <x:t xml:space="preserve">Nghiệm thu</x:t>
  </x:si>
  <x:si>
    <x:t xml:space="preserve">Mỗi lab tạo artifact nghề nghiệp; fault chủ đích có manifest; fixture reset được; demo dùng chung phải cleanup dữ liệu cá nhân.</x:t>
  </x:si>
  <x:si>
    <x:t xml:space="preserve">B. KPI / TIẾN ĐỘ</x:t>
  </x:si>
  <x:si>
    <x:t xml:space="preserve">Chỉ số</x:t>
  </x:si>
  <x:si>
    <x:t xml:space="preserve">Giá trị</x:t>
  </x:si>
  <x:si>
    <x:t xml:space="preserve">Mục tiêu</x:t>
  </x:si>
  <x:si>
    <x:t xml:space="preserve">Trạng thái</x:t>
  </x:si>
  <x:si>
    <x:t xml:space="preserve">Nguồn</x:t>
  </x:si>
  <x:si>
    <x:t xml:space="preserve">Ghi chú</x:t>
  </x:si>
  <x:si>
    <x:t xml:space="preserve">Tổng số lab</x:t>
  </x:si>
  <x:si>
    <x:t xml:space="preserve">01_Lab_Catalog</x:t>
  </x:si>
  <x:si>
    <x:t xml:space="preserve">Bắt buộc đủ 12 lab</x:t>
  </x:si>
  <x:si>
    <x:t xml:space="preserve">Manual labs</x:t>
  </x:si>
  <x:si>
    <x:t xml:space="preserve">Đề xuất 3 lab</x:t>
  </x:si>
  <x:si>
    <x:t xml:space="preserve">API labs</x:t>
  </x:si>
  <x:si>
    <x:t xml:space="preserve">Data labs</x:t>
  </x:si>
  <x:si>
    <x:t xml:space="preserve">Automation labs</x:t>
  </x:si>
  <x:si>
    <x:t xml:space="preserve">Lab có artifact/evidence đã tạo</x:t>
  </x:si>
  <x:si>
    <x:t xml:space="preserve">05_Artifact_Matrix</x:t>
  </x:si>
  <x:si>
    <x:t xml:space="preserve">Chỉ tính Y khi đã có output và evidence; file template chưa được tính là bài đã hoàn thành.</x:t>
  </x:si>
  <x:si>
    <x:t xml:space="preserve">Findings đã liệt kê</x:t>
  </x:si>
  <x:si>
    <x:t xml:space="preserve">02_Fault_Manifest</x:t>
  </x:si>
  <x:si>
    <x:t xml:space="preserve">12 controlled fault + 23 RF. Đây là số đã liệt kê, chưa phải số học viên đã tìm ra.</x:t>
  </x:si>
  <x:si>
    <x:t xml:space="preserve">Cleanup/Reset PASS</x:t>
  </x:si>
  <x:si>
    <x:t xml:space="preserve">07_Reset_Verification</x:t>
  </x:si>
  <x:si>
    <x:t xml:space="preserve">12/12 fixture đạt test hành vi 11/10 (buggy vi phạm quy tắc, clean thì không). Cleanup dữ liệu trên demo dùng chung vẫn do người học lưu evidence.</x:t>
  </x:si>
  <x:si>
    <x:t xml:space="preserve">Lab đã chạy PASS</x:t>
  </x:si>
  <x:si>
    <x:t xml:space="preserve">06_Execution</x:t>
  </x:si>
  <x:si>
    <x:t xml:space="preserve">Chỉ tính PASS có evidence thực chạy 11/10: LAB-08 và LAB-09. Các lab còn lại là FINDINGS CONFIRMED, MỘT PHẦN, BLOCKED hoặc NO-GO.</x:t>
  </x:si>
  <x:si>
    <x:t xml:space="preserve">C. QUY TRÌNH LÀM TRONG NGÀY</x:t>
  </x:si>
  <x:si>
    <x:t xml:space="preserve">Bước</x:t>
  </x:si>
  <x:si>
    <x:t xml:space="preserve">Công việc</x:t>
  </x:si>
  <x:si>
    <x:t xml:space="preserve">Đầu ra</x:t>
  </x:si>
  <x:si>
    <x:t xml:space="preserve">Bằng chứng</x:t>
  </x:si>
  <x:si>
    <x:t xml:space="preserve">Chốt 12 lab và category</x:t>
  </x:si>
  <x:si>
    <x:t xml:space="preserve">Lab Catalog</x:t>
  </x:si>
  <x:si>
    <x:t xml:space="preserve">DONE</x:t>
  </x:si>
  <x:si>
    <x:t xml:space="preserve">Map 12 lab vào 6 demo</x:t>
  </x:si>
  <x:si>
    <x:t xml:space="preserve">Viết spec/mục tiêu/đầu ra cho từng lab</x:t>
  </x:si>
  <x:si>
    <x:t xml:space="preserve">Lab Spec</x:t>
  </x:si>
  <x:si>
    <x:t xml:space="preserve">LAB-xx/TASK.md; 03_Lab_Spec</x:t>
  </x:si>
  <x:si>
    <x:t xml:space="preserve">Đủ 12 TASK</x:t>
  </x:si>
  <x:si>
    <x:t xml:space="preserve">Thiết kế fault chủ đích</x:t>
  </x:si>
  <x:si>
    <x:t xml:space="preserve">Fault Manifest</x:t>
  </x:si>
  <x:si>
    <x:t xml:space="preserve">02_Fault_Manifest; fixtures/manifest.json</x:t>
  </x:si>
  <x:si>
    <x:t xml:space="preserve">12 fault cục bộ</x:t>
  </x:si>
  <x:si>
    <x:t xml:space="preserve">Chuẩn bị fixture trạng thái lỗi</x:t>
  </x:si>
  <x:si>
    <x:t xml:space="preserve">Controlled fixtures</x:t>
  </x:si>
  <x:si>
    <x:t xml:space="preserve">fixtures/clean; fixtures/buggy</x:t>
  </x:si>
  <x:si>
    <x:t xml:space="preserve">Reset không tác động demo</x:t>
  </x:si>
  <x:si>
    <x:t xml:space="preserve">Tạo rubric + solution/instructor guide</x:t>
  </x:si>
  <x:si>
    <x:t xml:space="preserve">Rubric/Solution</x:t>
  </x:si>
  <x:si>
    <x:t xml:space="preserve">04_Rubric; instructor/</x:t>
  </x:si>
  <x:si>
    <x:t xml:space="preserve">Đủ 12 guide</x:t>
  </x:si>
  <x:si>
    <x:t xml:space="preserve">Thiết kế artifact nghề nghiệp từng lab</x:t>
  </x:si>
  <x:si>
    <x:t xml:space="preserve">Artifact Matrix</x:t>
  </x:si>
  <x:si>
    <x:t xml:space="preserve">LAB-xx/template.csv</x:t>
  </x:si>
  <x:si>
    <x:t xml:space="preserve">Đủ 12 template; 4 lab hiện có output/evidence trong 05_Artifact_Matrix.</x:t>
  </x:si>
  <x:si>
    <x:t xml:space="preserve">Kiểm tra reset môi trường</x:t>
  </x:si>
  <x:si>
    <x:t xml:space="preserve">Reset Verification</x:t>
  </x:si>
  <x:si>
    <x:t xml:space="preserve">12/12 controlled fixtures reset PASS; cleanup demo thật vẫn cần evidence khi pilot.</x:t>
  </x:si>
  <x:si>
    <x:t xml:space="preserve">Chạy thử lab đại diện mỗi nhóm</x:t>
  </x:si>
  <x:si>
    <x:t xml:space="preserve">Execution Evidence</x:t>
  </x:si>
  <x:si>
    <x:t xml:space="preserve">IN PROGRESS</x:t>
  </x:si>
  <x:si>
    <x:t xml:space="preserve">Fixture/smoke đã chạy; chờ pilot người</x:t>
  </x:si>
  <x:si>
    <x:t xml:space="preserve">Cập nhật AI Worklog + human verification</x:t>
  </x:si>
  <x:si>
    <x:t xml:space="preserve">AI Worklog</x:t>
  </x:si>
  <x:si>
    <x:t xml:space="preserve">08_AI_Worklog</x:t>
  </x:si>
  <x:si>
    <x:t xml:space="preserve">Checklist người học còn mở</x:t>
  </x:si>
  <x:si>
    <x:t xml:space="preserve">D. CHECKLIST NGHIỆM THU</x:t>
  </x:si>
  <x:si>
    <x:t xml:space="preserve">Điều kiện</x:t>
  </x:si>
  <x:si>
    <x:t xml:space="preserve">Kết quả hiện tại</x:t>
  </x:si>
  <x:si>
    <x:t xml:space="preserve">Yêu cầu</x:t>
  </x:si>
  <x:si>
    <x:t xml:space="preserve">Đủ 12 lab</x:t>
  </x:si>
  <x:si>
    <x:t xml:space="preserve">12/12</x:t>
  </x:si>
  <x:si>
    <x:t xml:space="preserve">Kiểm từ danh sách LAB-01 đến LAB-12.</x:t>
  </x:si>
  <x:si>
    <x:t xml:space="preserve">Có đủ 4 nhóm Manual/API/Data/Automation</x:t>
  </x:si>
  <x:si>
    <x:t xml:space="preserve">4/4</x:t>
  </x:si>
  <x:si>
    <x:t xml:space="preserve">ĐẠT</x:t>
  </x:si>
  <x:si>
    <x:t xml:space="preserve">Mỗi nhóm có 3 lab.</x:t>
  </x:si>
  <x:si>
    <x:t xml:space="preserve">Mỗi lab có artifact yêu cầu và template</x:t>
  </x:si>
  <x:si>
    <x:t xml:space="preserve">Đủ template; trạng thái đã tạo được theo dõi riêng.</x:t>
  </x:si>
  <x:si>
    <x:t xml:space="preserve">Mỗi lab có controlled fault tham chiếu</x:t>
  </x:si>
  <x:si>
    <x:t xml:space="preserve">RF-* trên demo được theo dõi riêng, không coi fault đề xuất là bug thật.</x:t>
  </x:si>
  <x:si>
    <x:t xml:space="preserve">Controlled fixture reset được</x:t>
  </x:si>
  <x:si>
    <x:t xml:space="preserve">12/12 PASS</x:t>
  </x:si>
  <x:si>
    <x:t xml:space="preserve">Automated check ngày 23/09/2026: 3/3 test pass.</x:t>
  </x:si>
  <x:si>
    <x:t xml:space="preserve">Có rubric, solution và instructor guide</x:t>
  </x:si>
  <x:si>
    <x:t xml:space="preserve">04_Rubric; 09_Instructor_Guide</x:t>
  </x:si>
  <x:si>
    <x:t xml:space="preserve">Rubric 10 điểm/lab và guide đủ 12 lab.</x:t>
  </x:si>
  <x:si>
    <x:t xml:space="preserve">Human verification checklist</x:t>
  </x:si>
  <x:si>
    <x:t xml:space="preserve">5 mục</x:t>
  </x:si>
  <x:si>
    <x:t xml:space="preserve">Còn mục cần người dùng pilot và tự chấm.</x:t>
  </x:si>
  <x:si>
    <x:t xml:space="preserve">01_Lab_Catalog — 12 tester labs trên web demo CyberSoft</x:t>
  </x:si>
  <x:si>
    <x:t xml:space="preserve">12 lab chạy trên 6 web demo CyberSoft. Demo dùng chung chỉ dùng cho thực chiến; mỗi lab có fixture clean/buggy cục bộ để fault có kiểm soát và reset được. READY chỉ sau pilot.</x:t>
  </x:si>
  <x:si>
    <x:t xml:space="preserve">Lab ID</x:t>
  </x:si>
  <x:si>
    <x:t xml:space="preserve">Nhóm</x:t>
  </x:si>
  <x:si>
    <x:t xml:space="preserve">Tên lab</x:t>
  </x:si>
  <x:si>
    <x:t xml:space="preserve">Tool chính</x:t>
  </x:si>
  <x:si>
    <x:t xml:space="preserve">Fault dự kiến</x:t>
  </x:si>
  <x:si>
    <x:t xml:space="preserve">Artifact nghề nghiệp</x:t>
  </x:si>
  <x:si>
    <x:t xml:space="preserve">Độ khó</x:t>
  </x:si>
  <x:si>
    <x:t xml:space="preserve">Timebox</x:t>
  </x:si>
  <x:si>
    <x:t xml:space="preserve">Môi trường</x:t>
  </x:si>
  <x:si>
    <x:t xml:space="preserve">LAB-01</x:t>
  </x:si>
  <x:si>
    <x:t xml:space="preserve">Manual</x:t>
  </x:si>
  <x:si>
    <x:t xml:space="preserve">Bug hunt Đăng ký / Đăng nhập (V Learning)</x:t>
  </x:si>
  <x:si>
    <x:t xml:space="preserve">Thiết kế ca kiểm thử âm cho form đăng ký/đăng nhập và viết bug report tái hiện được.</x:t>
  </x:si>
  <x:si>
    <x:t xml:space="preserve">Chrome + DevTools</x:t>
  </x:si>
  <x:si>
    <x:t xml:space="preserve">F-D14-001</x:t>
  </x:si>
  <x:si>
    <x:t xml:space="preserve">Bug_Report_LAB01.csv</x:t>
  </x:si>
  <x:si>
    <x:t xml:space="preserve">Cơ bản</x:t>
  </x:si>
  <x:si>
    <x:t xml:space="preserve">60 phút</x:t>
  </x:si>
  <x:si>
    <x:t xml:space="preserve">FINDINGS CONFIRMED (một phần)</x:t>
  </x:si>
  <x:si>
    <x:t xml:space="preserve">demo2 - E-learning V Learning: https://demo2.cybersoft.edu.vn · elearningnew - cần header TokenCybersoft (mentor cấp)</x:t>
  </x:si>
  <x:si>
    <x:t xml:space="preserve">LAB-02</x:t>
  </x:si>
  <x:si>
    <x:t xml:space="preserve">Exploratory Danh sách phim &amp; Đặt vé (TIX)</x:t>
  </x:si>
  <x:si>
    <x:t xml:space="preserve">Khám phá danh sách phim, chi tiết, chọn suất chiếu và luồng đặt vé; ghi quan sát và rủi ro.</x:t>
  </x:si>
  <x:si>
    <x:t xml:space="preserve">F-D14-002</x:t>
  </x:si>
  <x:si>
    <x:t xml:space="preserve">Exploratory_Report_LAB02.csv</x:t>
  </x:si>
  <x:si>
    <x:t xml:space="preserve">FINDINGS CONFIRMED</x:t>
  </x:si>
  <x:si>
    <x:t xml:space="preserve">demo1 - Đặt vé xem phim (TIX): https://demo1.cybersoft.edu.vn · movie0706 - API công khai, KHÔNG cần TokenCybersoft</x:t>
  </x:si>
  <x:si>
    <x:t xml:space="preserve">LAB-03</x:t>
  </x:si>
  <x:si>
    <x:t xml:space="preserve">Functional Tìm phòng &amp; Đặt phòng (Airbnb)</x:t>
  </x:si>
  <x:si>
    <x:t xml:space="preserve">Kiểm luồng tìm phòng theo vị trí, xem chi tiết, đặt phòng; dùng bảng quyết định.</x:t>
  </x:si>
  <x:si>
    <x:t xml:space="preserve">F-D14-003</x:t>
  </x:si>
  <x:si>
    <x:t xml:space="preserve">Functional_Test_Cases_LAB03.csv</x:t>
  </x:si>
  <x:si>
    <x:t xml:space="preserve">MỘT PHẦN</x:t>
  </x:si>
  <x:si>
    <x:t xml:space="preserve">demo5 - Đặt phòng (Airbnb): https://demo5.cybersoft.edu.vn · airbnbnew - cần tokenCybersoft</x:t>
  </x:si>
  <x:si>
    <x:t xml:space="preserve">LAB-04</x:t>
  </x:si>
  <x:si>
    <x:t xml:space="preserve">API</x:t>
  </x:si>
  <x:si>
    <x:t xml:space="preserve">Auth API bệnh viện (Bearer JWT)</x:t>
  </x:si>
  <x:si>
    <x:t xml:space="preserve">Kiểm đăng nhập/đăng ký và đọc danh mục qua Swagger; phân biệt Bearer JWT với TokenCybersoft.</x:t>
  </x:si>
  <x:si>
    <x:t xml:space="preserve">Postman + Swagger</x:t>
  </x:si>
  <x:si>
    <x:t xml:space="preserve">F-D14-004</x:t>
  </x:si>
  <x:si>
    <x:t xml:space="preserve">LAB04_Auth_API.postman_collection.json</x:t>
  </x:si>
  <x:si>
    <x:t xml:space="preserve">Trung cấp</x:t>
  </x:si>
  <x:si>
    <x:t xml:space="preserve">FINDINGS CONFIRMED — auth hợp lệ NEEDS VERIFICATION</x:t>
  </x:si>
  <x:si>
    <x:t xml:space="preserve">demo6 - Bệnh viện (Insove): https://demo6.cybersoft.edu.vn · api-hospital - dùng Bearer JWT, KHÁC TokenCybersoft</x:t>
  </x:si>
  <x:si>
    <x:t xml:space="preserve">LAB-05</x:t>
  </x:si>
  <x:si>
    <x:t xml:space="preserve">Project &amp; Task API (Jira) - chuỗi CRUD</x:t>
  </x:si>
  <x:si>
    <x:t xml:space="preserve">Đăng nhập, tạo project, tạo task, gán/di chuyển status, rồi dọn dữ liệu của chính mình.</x:t>
  </x:si>
  <x:si>
    <x:t xml:space="preserve">F-D14-005</x:t>
  </x:si>
  <x:si>
    <x:t xml:space="preserve">LAB05_API_Report.csv</x:t>
  </x:si>
  <x:si>
    <x:t xml:space="preserve">75 phút</x:t>
  </x:si>
  <x:si>
    <x:t xml:space="preserve">NEEDS PILOT (chạy bằng Postman collection)</x:t>
  </x:si>
  <x:si>
    <x:t xml:space="preserve">demo3 - Quản lý công việc (Jira): https://demo3.cybersoft.edu.vn · jiranew - cần TokenCybersoft + Authorization</x:t>
  </x:si>
  <x:si>
    <x:t xml:space="preserve">LAB-06</x:t>
  </x:si>
  <x:si>
    <x:t xml:space="preserve">Negative &amp; Error Handling (Fiverr)</x:t>
  </x:si>
  <x:si>
    <x:t xml:space="preserve">Gọi API với dữ liệu sai, thiếu quyền, sai phương thức; phát hiện 500/lộ thông tin.</x:t>
  </x:si>
  <x:si>
    <x:t xml:space="preserve">F-D14-006</x:t>
  </x:si>
  <x:si>
    <x:t xml:space="preserve">LAB06_Negative_API_Report.csv</x:t>
  </x:si>
  <x:si>
    <x:t xml:space="preserve">demo4 - Thuê dịch vụ (Fiverr): https://demo4.cybersoft.edu.vn · fiverrnew - cần tokenCybersoft</x:t>
  </x:si>
  <x:si>
    <x:t xml:space="preserve">LAB-07</x:t>
  </x:si>
  <x:si>
    <x:t xml:space="preserve">Data</x:t>
  </x:si>
  <x:si>
    <x:t xml:space="preserve">Kiểm chất lượng dữ liệu phim (qua API)</x:t>
  </x:si>
  <x:si>
    <x:t xml:space="preserve">Biến quy tắc dữ liệu thành truy vấn kiểm tra trên dữ liệu phim thật của movie0706.</x:t>
  </x:si>
  <x:si>
    <x:t xml:space="preserve">Postman + Excel/JS</x:t>
  </x:si>
  <x:si>
    <x:t xml:space="preserve">F-D14-007</x:t>
  </x:si>
  <x:si>
    <x:t xml:space="preserve">LAB07_Data_Check.csv</x:t>
  </x:si>
  <x:si>
    <x:t xml:space="preserve">LAB-08</x:t>
  </x:si>
  <x:si>
    <x:t xml:space="preserve">Đối chiếu UI ↔ API khóa học (V Learning)</x:t>
  </x:si>
  <x:si>
    <x:t xml:space="preserve">Đối chiếu cùng dữ liệu khóa học ở giao diện và API; kiểm bất biến (phân trang, tổng số).</x:t>
  </x:si>
  <x:si>
    <x:t xml:space="preserve">Chrome + Postman</x:t>
  </x:si>
  <x:si>
    <x:t xml:space="preserve">F-D14-008</x:t>
  </x:si>
  <x:si>
    <x:t xml:space="preserve">LAB08_Integrity_Report.csv</x:t>
  </x:si>
  <x:si>
    <x:t xml:space="preserve">PASS</x:t>
  </x:si>
  <x:si>
    <x:t xml:space="preserve">LAB-09</x:t>
  </x:si>
  <x:si>
    <x:t xml:space="preserve">Data Quality Hunt trên snapshot SQL</x:t>
  </x:si>
  <x:si>
    <x:t xml:space="preserve">Tìm dữ liệu trùng/mồ côi bằng SQL trên file SQLite đi kèm (đáp ứng phần SQL của kế hoạch).</x:t>
  </x:si>
  <x:si>
    <x:t xml:space="preserve">SQLite (DB Browser / Python)</x:t>
  </x:si>
  <x:si>
    <x:t xml:space="preserve">F-D14-009</x:t>
  </x:si>
  <x:si>
    <x:t xml:space="preserve">LAB09_Data_Quality_Findings.csv</x:t>
  </x:si>
  <x:si>
    <x:t xml:space="preserve">45 phút</x:t>
  </x:si>
  <x:si>
    <x:t xml:space="preserve">File SQLite đi kèm (data/), chạy offline. Không cần web.</x:t>
  </x:si>
  <x:si>
    <x:t xml:space="preserve">LAB-10</x:t>
  </x:si>
  <x:si>
    <x:t xml:space="preserve">Automation</x:t>
  </x:si>
  <x:si>
    <x:t xml:space="preserve">Login UI Automation (V Learning)</x:t>
  </x:si>
  <x:si>
    <x:t xml:space="preserve">Viết test đăng nhập ổn định trên V Learning và phân loại nguyên nhân khi test fail.</x:t>
  </x:si>
  <x:si>
    <x:t xml:space="preserve">F-D14-010</x:t>
  </x:si>
  <x:si>
    <x:t xml:space="preserve">login.spec.ts + HTML report</x:t>
  </x:si>
  <x:si>
    <x:t xml:space="preserve">BLOCKED</x:t>
  </x:si>
  <x:si>
    <x:t xml:space="preserve">LAB-11</x:t>
  </x:si>
  <x:si>
    <x:t xml:space="preserve">Luồng chọn phim → đặt vé (TIX)</x:t>
  </x:si>
  <x:si>
    <x:t xml:space="preserve">Tự động hóa luồng: mở phim, chọn cụm rạp/suất chiếu, tới bước đặt vé (dừng trước thanh toán).</x:t>
  </x:si>
  <x:si>
    <x:t xml:space="preserve">F-D14-011</x:t>
  </x:si>
  <x:si>
    <x:t xml:space="preserve">booking.spec.ts + evidence</x:t>
  </x:si>
  <x:si>
    <x:t xml:space="preserve">LAB-12</x:t>
  </x:si>
  <x:si>
    <x:t xml:space="preserve">Mini Regression Suite</x:t>
  </x:si>
  <x:si>
    <x:t xml:space="preserve">Chọn ≥6 luồng quan trọng của một demo, xây bộ hồi quy data-driven và kết luận GO/NO-GO.</x:t>
  </x:si>
  <x:si>
    <x:t xml:space="preserve">F-D14-012</x:t>
  </x:si>
  <x:si>
    <x:t xml:space="preserve">regression.spec.ts + Regression_Summary.csv</x:t>
  </x:si>
  <x:si>
    <x:t xml:space="preserve">90 phút</x:t>
  </x:si>
  <x:si>
    <x:t xml:space="preserve">NO-GO</x:t>
  </x:si>
  <x:si>
    <x:t xml:space="preserve">02_Fault_Manifest — Controlled faults (instructor-only)</x:t>
  </x:si>
  <x:si>
    <x:t xml:space="preserve">Mỗi fault nằm trong fixture cục bộ, không sửa demo. Học viên dùng runtime trước; clean/buggy và manifest chỉ mở khi chấm hoặc reset.</x:t>
  </x:si>
  <x:si>
    <x:t xml:space="preserve">ID</x:t>
  </x:si>
  <x:si>
    <x:t xml:space="preserve">Lab</x:t>
  </x:si>
  <x:si>
    <x:t xml:space="preserve">Site</x:t>
  </x:si>
  <x:si>
    <x:t xml:space="preserve">Loại</x:t>
  </x:si>
  <x:si>
    <x:t xml:space="preserve">Mô tả</x:t>
  </x:si>
  <x:si>
    <x:t xml:space="preserve">Cách phát hiện</x:t>
  </x:si>
  <x:si>
    <x:t xml:space="preserve">Expected đúng</x:t>
  </x:si>
  <x:si>
    <x:t xml:space="preserve">Severity</x:t>
  </x:si>
  <x:si>
    <x:t xml:space="preserve">Local fixture</x:t>
  </x:si>
  <x:si>
    <x:t xml:space="preserve">Form thiếu khai báo/chặn đủ trường bắt buộc.</x:t>
  </x:si>
  <x:si>
    <x:t xml:space="preserve">So buggy/clean fixture; kiểm requiredFields và requestSentWhenEmailInvalid.</x:t>
  </x:si>
  <x:si>
    <x:t xml:space="preserve">Mọi trường bắt buộc phải được khai báo và chặn trước request.</x:t>
  </x:si>
  <x:si>
    <x:t xml:space="preserve">Medium</x:t>
  </x:si>
  <x:si>
    <x:t xml:space="preserve">SEEDED</x:t>
  </x:si>
  <x:si>
    <x:t xml:space="preserve">Setup: node fixtures/reset.mjs --mode buggy --lab LAB-01; reset: --mode clean</x:t>
  </x:si>
  <x:si>
    <x:t xml:space="preserve">Mã phim không tồn tại bị trả 500 thay vì 404.</x:t>
  </x:si>
  <x:si>
    <x:t xml:space="preserve">So status của movieId không tồn tại giữa buggy và clean.</x:t>
  </x:si>
  <x:si>
    <x:t xml:space="preserve">Mã phim không tồn tại phải trả trạng thái không tìm thấy, không phải lỗi server.</x:t>
  </x:si>
  <x:si>
    <x:t xml:space="preserve">High</x:t>
  </x:si>
  <x:si>
    <x:t xml:space="preserve">Setup: node fixtures/reset.mjs --mode buggy --lab LAB-02; reset: --mode clean</x:t>
  </x:si>
  <x:si>
    <x:t xml:space="preserve">Ngày trả trước ngày nhận và 0 khách vẫn được chấp nhận.</x:t>
  </x:si>
  <x:si>
    <x:t xml:space="preserve">Kiểm decision rule checkOut &gt; checkIn và guests &gt; 0.</x:t>
  </x:si>
  <x:si>
    <x:t xml:space="preserve">Ngày trả phải sau ngày nhận và số khách phải lớn hơn 0.</x:t>
  </x:si>
  <x:si>
    <x:t xml:space="preserve">Setup: node fixtures/reset.mjs --mode buggy --lab LAB-03; reset: --mode clean</x:t>
  </x:si>
  <x:si>
    <x:t xml:space="preserve">Dùng sai TokenCybersoft thay cho Authorization Bearer.</x:t>
  </x:si>
  <x:si>
    <x:t xml:space="preserve">Kiểm tên header xác thực trong request fixture.</x:t>
  </x:si>
  <x:si>
    <x:t xml:space="preserve">API bệnh viện dùng Authorization: Bearer; không dùng TokenCybersoft.</x:t>
  </x:si>
  <x:si>
    <x:t xml:space="preserve">Setup: node fixtures/reset.mjs --mode buggy --lab LAB-04; reset: --mode clean</x:t>
  </x:si>
  <x:si>
    <x:t xml:space="preserve">Cho phép user khác sửa tài nguyên không thuộc quyền sở hữu.</x:t>
  </x:si>
  <x:si>
    <x:t xml:space="preserve">So resourceOwner với requestUser và status.</x:t>
  </x:si>
  <x:si>
    <x:t xml:space="preserve">Sửa/xóa phải kiểm quyền sở hữu tài nguyên.</x:t>
  </x:si>
  <x:si>
    <x:t xml:space="preserve">Setup: node fixtures/reset.mjs --mode buggy --lab LAB-05; reset: --mode clean</x:t>
  </x:si>
  <x:si>
    <x:t xml:space="preserve">Input phân trang âm gây 500 và lộ stack trace.</x:t>
  </x:si>
  <x:si>
    <x:t xml:space="preserve">Kiểm status/body với pageIndex=-1.</x:t>
  </x:si>
  <x:si>
    <x:t xml:space="preserve">Input biên phải trả 4xx phù hợp và không lộ stack trace.</x:t>
  </x:si>
  <x:si>
    <x:t xml:space="preserve">Setup: node fixtures/reset.mjs --mode buggy --lab LAB-06; reset: --mode clean</x:t>
  </x:si>
  <x:si>
    <x:t xml:space="preserve">danhGia có giá trị ngoài khoảng 0..10.</x:t>
  </x:si>
  <x:si>
    <x:t xml:space="preserve">Lọc danhGia &lt; 0 hoặc &gt; 10.</x:t>
  </x:si>
  <x:si>
    <x:t xml:space="preserve">danhGia phải nằm trong 0..10.</x:t>
  </x:si>
  <x:si>
    <x:t xml:space="preserve">Setup: node fixtures/reset.mjs --mode buggy --lab LAB-07; reset: --mode clean</x:t>
  </x:si>
  <x:si>
    <x:t xml:space="preserve">Tổng số khóa học UI và API không khớp cùng bộ lọc.</x:t>
  </x:si>
  <x:si>
    <x:t xml:space="preserve">So uiCount và apiTotal của cùng filter.</x:t>
  </x:si>
  <x:si>
    <x:t xml:space="preserve">Tổng UI và API của cùng bộ lọc/thời điểm phải khớp.</x:t>
  </x:si>
  <x:si>
    <x:t xml:space="preserve">Setup: node fixtures/reset.mjs --mode buggy --lab LAB-08; reset: --mode clean</x:t>
  </x:si>
  <x:si>
    <x:t xml:space="preserve">Email trùng sau chuẩn hóa và attempt mồ côi.</x:t>
  </x:si>
  <x:si>
    <x:t xml:space="preserve">Đếm duplicateEmails và orphanAttempts.</x:t>
  </x:si>
  <x:si>
    <x:t xml:space="preserve">Email phải duy nhất sau chuẩn hóa; mọi attempt phải có user.</x:t>
  </x:si>
  <x:si>
    <x:t xml:space="preserve">Setup: node fixtures/reset.mjs --mode buggy --lab LAB-09; reset: --mode clean</x:t>
  </x:si>
  <x:si>
    <x:t xml:space="preserve">Automation dùng selector class sinh tự động, dễ vỡ.</x:t>
  </x:si>
  <x:si>
    <x:t xml:space="preserve">Đánh giá độ bền locator; chạy lại với DOM class thay đổi.</x:t>
  </x:si>
  <x:si>
    <x:t xml:space="preserve">Locator phải theo role/label/name ổn định, không phụ thuộc class ngẫu nhiên.</x:t>
  </x:si>
  <x:si>
    <x:t xml:space="preserve">Setup: node fixtures/reset.mjs --mode buggy --lab LAB-10; reset: --mode clean</x:t>
  </x:si>
  <x:si>
    <x:t xml:space="preserve">Ghế BOOKED vẫn được hiển thị có thể chọn.</x:t>
  </x:si>
  <x:si>
    <x:t xml:space="preserve">So serverStatus với uiSelectable.</x:t>
  </x:si>
  <x:si>
    <x:t xml:space="preserve">Ghế đã đặt không được hiển thị là có thể chọn.</x:t>
  </x:si>
  <x:si>
    <x:t xml:space="preserve">Setup: node fixtures/reset.mjs --mode buggy --lab LAB-11; reset: --mode clean</x:t>
  </x:si>
  <x:si>
    <x:t xml:space="preserve">Regression case ID trùng và ca ghi dữ liệu thiếu cleanup.</x:t>
  </x:si>
  <x:si>
    <x:t xml:space="preserve">Kiểm uniqueness caseIds và cleanupRequired.</x:t>
  </x:si>
  <x:si>
    <x:t xml:space="preserve">Regression case ID phải duy nhất và ca ghi dữ liệu phải có cleanup.</x:t>
  </x:si>
  <x:si>
    <x:t xml:space="preserve">Setup: node fixtures/reset.mjs --mode buggy --lab LAB-12; reset: --mode clean</x:t>
  </x:si>
  <x:si>
    <x:t xml:space="preserve">Real findings / teaching observations on shared demos</x:t>
  </x:si>
  <x:si>
    <x:t xml:space="preserve">RF-001</x:t>
  </x:si>
  <x:si>
    <x:t xml:space="preserve">demo1</x:t>
  </x:si>
  <x:si>
    <x:t xml:space="preserve">danhGia có giá trị âm, ví dụ -8</x:t>
  </x:si>
  <x:si>
    <x:t xml:space="preserve">Lấy danh sách phim GP01 và lọc ngoài 0..10</x:t>
  </x:si>
  <x:si>
    <x:t xml:space="preserve">Đánh giá trong 0..10</x:t>
  </x:si>
  <x:si>
    <x:t xml:space="preserve">VERIFIED 11/10</x:t>
  </x:si>
  <x:si>
    <x:t xml:space="preserve">Tái hiện 11/10: maPhim 11665 danhGia = -8 (1/33). Bản 23/09 ghi 0 lỗi là sai; xem reports/2026-10-11-live-recheck.md</x:t>
  </x:si>
  <x:si>
    <x:t xml:space="preserve">RF-002</x:t>
  </x:si>
  <x:si>
    <x:t xml:space="preserve">Tên phim trùng sau chuẩn hóa</x:t>
  </x:si>
  <x:si>
    <x:t xml:space="preserve">Đếm GROUP BY tên chuẩn hóa</x:t>
  </x:si>
  <x:si>
    <x:t xml:space="preserve">Tên cần phân biệt hoặc có ngữ cảnh</x:t>
  </x:si>
  <x:si>
    <x:t xml:space="preserve">Low</x:t>
  </x:si>
  <x:si>
    <x:t xml:space="preserve">Tái hiện 11/10: 4 nhóm tên trùng (11605/11607, 11608/11609, 11666/11670, 11684/11685).</x:t>
  </x:si>
  <x:si>
    <x:t xml:space="preserve">RF-003</x:t>
  </x:si>
  <x:si>
    <x:t xml:space="preserve">Mã phim không tồn tại trả 500 thay vì 404</x:t>
  </x:si>
  <x:si>
    <x:t xml:space="preserve">Gọi mã không tồn tại</x:t>
  </x:si>
  <x:si>
    <x:t xml:space="preserve">404</x:t>
  </x:si>
  <x:si>
    <x:t xml:space="preserve">Chạy lại 11/10: MaPhim=999999 → 500; abc → 400; 1314 → 200.</x:t>
  </x:si>
  <x:si>
    <x:t xml:space="preserve">RF-004</x:t>
  </x:si>
  <x:si>
    <x:t xml:space="preserve">Một số phim thiếu mô tả/trailer</x:t>
  </x:si>
  <x:si>
    <x:t xml:space="preserve">Lọc trường rỗng</x:t>
  </x:si>
  <x:si>
    <x:t xml:space="preserve">Có dữ liệu hoặc UI xử lý rỗng</x:t>
  </x:si>
  <x:si>
    <x:t xml:space="preserve">Tái hiện 11/10: thiếu moTa 2 phim (11605, 11607); thiếu trailer 6 phim.</x:t>
  </x:si>
  <x:si>
    <x:t xml:space="preserve">RF-005</x:t>
  </x:si>
  <x:si>
    <x:t xml:space="preserve">demo6</x:t>
  </x:si>
  <x:si>
    <x:t xml:space="preserve">Teaching point</x:t>
  </x:si>
  <x:si>
    <x:t xml:space="preserve">Hospital dùng Bearer JWT</x:t>
  </x:si>
  <x:si>
    <x:t xml:space="preserve">Đọc Swagger security scheme</x:t>
  </x:si>
  <x:si>
    <x:t xml:space="preserve">Không phải bug</x:t>
  </x:si>
  <x:si>
    <x:t xml:space="preserve">-</x:t>
  </x:si>
  <x:si>
    <x:t xml:space="preserve">VERIFIED 22/09</x:t>
  </x:si>
  <x:si>
    <x:t xml:space="preserve">Dùng để phân biệt auth</x:t>
  </x:si>
  <x:si>
    <x:t xml:space="preserve">RF-006</x:t>
  </x:si>
  <x:si>
    <x:t xml:space="preserve">MedicalService trả mảng rỗng</x:t>
  </x:si>
  <x:si>
    <x:t xml:space="preserve">Gọi endpoint theo Swagger</x:t>
  </x:si>
  <x:si>
    <x:t xml:space="preserve">Cần xác định seed hay lỗi</x:t>
  </x:si>
  <x:si>
    <x:t xml:space="preserve">CANDIDATE</x:t>
  </x:si>
  <x:si>
    <x:t xml:space="preserve">11/10: GET /api/MedicalService vẫn 200 []. Cần hỏi mentor đây là chưa seed hay lỗi.</x:t>
  </x:si>
  <x:si>
    <x:t xml:space="preserve">RF-007</x:t>
  </x:si>
  <x:si>
    <x:t xml:space="preserve">demo2/3/4</x:t>
  </x:si>
  <x:si>
    <x:t xml:space="preserve">Thiếu TokenCybersoft trả 403</x:t>
  </x:si>
  <x:si>
    <x:t xml:space="preserve">Bỏ header trên request đọc an toàn</x:t>
  </x:si>
  <x:si>
    <x:t xml:space="preserve">403</x:t>
  </x:si>
  <x:si>
    <x:t xml:space="preserve">11/10: demo4 gọi không token trả 400/403. Chưa kiểm demo2/demo3 (cần TokenCybersoft).</x:t>
  </x:si>
  <x:si>
    <x:t xml:space="preserve">RF-008</x:t>
  </x:si>
  <x:si>
    <x:t xml:space="preserve">demo2</x:t>
  </x:si>
  <x:si>
    <x:t xml:space="preserve">Input login/register không có required HTML</x:t>
  </x:si>
  <x:si>
    <x:t xml:space="preserve">Kiểm DOM và submit trống</x:t>
  </x:si>
  <x:si>
    <x:t xml:space="preserve">Cần kiểm validation JS/API trước khi kết luận</x:t>
  </x:si>
  <x:si>
    <x:t xml:space="preserve">DOM CONFIRMED 11/10</x:t>
  </x:si>
  <x:si>
    <x:t xml:space="preserve">7/7 input không có required; hành vi submit trống chưa pilot. Hai form dùng chung name taiKhoan/matKhau.</x:t>
  </x:si>
  <x:si>
    <x:t xml:space="preserve">RF-009</x:t>
  </x:si>
  <x:si>
    <x:t xml:space="preserve">URL chi tiết mã sai</x:t>
  </x:si>
  <x:si>
    <x:t xml:space="preserve">Mở /detail/&lt;mã sai&gt;</x:t>
  </x:si>
  <x:si>
    <x:t xml:space="preserve">Thông báo không tìm thấy</x:t>
  </x:si>
  <x:si>
    <x:t xml:space="preserve">Cần pilot</x:t>
  </x:si>
  <x:si>
    <x:t xml:space="preserve">RF-010</x:t>
  </x:si>
  <x:si>
    <x:t xml:space="preserve">demo3</x:t>
  </x:si>
  <x:si>
    <x:t xml:space="preserve">Security</x:t>
  </x:si>
  <x:si>
    <x:t xml:space="preserve">Kiểm ownership project/task</x:t>
  </x:si>
  <x:si>
    <x:t xml:space="preserve">Chỉ mô phỏng bằng controlled fixture</x:t>
  </x:si>
  <x:si>
    <x:t xml:space="preserve">Không sửa dữ liệu người khác</x:t>
  </x:si>
  <x:si>
    <x:t xml:space="preserve">Không thử IDOR trên demo chung</x:t>
  </x:si>
  <x:si>
    <x:t xml:space="preserve">RF-011</x:t>
  </x:si>
  <x:si>
    <x:t xml:space="preserve">demo5</x:t>
  </x:si>
  <x:si>
    <x:t xml:space="preserve">Ngày trả trước ngày nhận hoặc 0 khách</x:t>
  </x:si>
  <x:si>
    <x:t xml:space="preserve">Thử ca âm trên dữ liệu của mình</x:t>
  </x:si>
  <x:si>
    <x:t xml:space="preserve">Phải chặn rõ</x:t>
  </x:si>
  <x:si>
    <x:t xml:space="preserve">RF-012</x:t>
  </x:si>
  <x:si>
    <x:t xml:space="preserve">demo4</x:t>
  </x:si>
  <x:si>
    <x:t xml:space="preserve">Phân trang biên/ký tự đặc biệt</x:t>
  </x:si>
  <x:si>
    <x:t xml:space="preserve">Dùng endpoint thật từ Swagger</x:t>
  </x:si>
  <x:si>
    <x:t xml:space="preserve">4xx phù hợp, không lộ stack</x:t>
  </x:si>
  <x:si>
    <x:t xml:space="preserve">RF-013</x:t>
  </x:si>
  <x:si>
    <x:t xml:space="preserve">Đăng nhập sai (username/password không tồn tại) trả 500, thân rỗng</x:t>
  </x:si>
  <x:si>
    <x:t xml:space="preserve">POST /api/Auth/login với tài khoản không tồn tại; đối chứng body {} → 400</x:t>
  </x:si>
  <x:si>
    <x:t xml:space="preserve">401 Unauthorized</x:t>
  </x:si>
  <x:si>
    <x:t xml:space="preserve">Lỗi thật, khớp hint của LAB-04 ("không 500"). Không dùng tài khoản thật.</x:t>
  </x:si>
  <x:si>
    <x:t xml:space="preserve">RF-014</x:t>
  </x:si>
  <x:si>
    <x:t xml:space="preserve">GET không token trả 200 cho Patient, User, Invoices, InvoiceDetail, Appointment</x:t>
  </x:si>
  <x:si>
    <x:t xml:space="preserve">GET các endpoint danh sách không gửi Authorization; đối chứng /api/Blog/admin → 401</x:t>
  </x:si>
  <x:si>
    <x:t xml:space="preserve">Cần xác thực hoặc dữ liệu công khai có chủ đích</x:t>
  </x:si>
  <x:si>
    <x:t xml:space="preserve">CANDIDATE (đã quan sát 11/10)</x:t>
  </x:si>
  <x:si>
    <x:t xml:space="preserve">Chỉ ghi mã trạng thái và kích thước phản hồi, không lưu nội dung. Mentor xác nhận cố ý hay lỗi; học viên không khai thác.</x:t>
  </x:si>
  <x:si>
    <x:t xml:space="preserve">RF-015</x:t>
  </x:si>
  <x:si>
    <x:t xml:space="preserve">Thẻ title trang chủ bắt đầu bằng dấu backtick</x:t>
  </x:si>
  <x:si>
    <x:t xml:space="preserve">Đọc document.title trang chủ</x:t>
  </x:si>
  <x:si>
    <x:t xml:space="preserve">Title không có ký tự thừa</x:t>
  </x:si>
  <x:si>
    <x:t xml:space="preserve">Title hiện: "`Nhà nghỉ dưỡng &amp; Căn hộ cao cấp cho thuê".</x:t>
  </x:si>
  <x:si>
    <x:t xml:space="preserve">RF-016</x:t>
  </x:si>
  <x:si>
    <x:t xml:space="preserve">Trang chủ có ảnh lỗi (chữ "Img alt"), 6/91 ảnh thiếu alt, một phim dùng ảnh logo thay poster</x:t>
  </x:si>
  <x:si>
    <x:t xml:space="preserve">Quan sát trang chủ và đếm img lỗi bằng DevTools</x:t>
  </x:si>
  <x:si>
    <x:t xml:space="preserve">Ảnh tải được, có alt</x:t>
  </x:si>
  <x:si>
    <x:t xml:space="preserve">Cần pilot UI để xác nhận mức độ ảnh hưởng.</x:t>
  </x:si>
  <x:si>
    <x:t xml:space="preserve">RF-017</x:t>
  </x:si>
  <x:si>
    <x:t xml:space="preserve">Đăng nhập sai, thân rỗng hoặc thiếu mật khẩu đều trả 500</x:t>
  </x:si>
  <x:si>
    <x:t xml:space="preserve">POST /api/QuanLyNguoiDung/DangNhap với dữ liệu sai</x:t>
  </x:si>
  <x:si>
    <x:t xml:space="preserve">401 hoặc 400</x:t>
  </x:si>
  <x:si>
    <x:t xml:space="preserve">Cùng thông điệp "Tài khoản hoặc mật khẩu không đúng!" cho cả thân rỗng.</x:t>
  </x:si>
  <x:si>
    <x:t xml:space="preserve">RF-018</x:t>
  </x:si>
  <x:si>
    <x:t xml:space="preserve">keyword có dấu nháy gây 500 và lộ câu lỗi SQL Server</x:t>
  </x:si>
  <x:si>
    <x:t xml:space="preserve">GET /api/cong-viec/phan-trang-tim-kiem?keyword=%27</x:t>
  </x:si>
  <x:si>
    <x:t xml:space="preserve">400/200 không lộ lỗi nội bộ</x:t>
  </x:si>
  <x:si>
    <x:t xml:space="preserve">VERIFIED 11/10 (ứng viên SQL injection)</x:t>
  </x:si>
  <x:si>
    <x:t xml:space="preserve">Thông báo "Unclosed quotation mark ... ORDER BY Id OFFSET 0 row". Không khai thác tiếp.</x:t>
  </x:si>
  <x:si>
    <x:t xml:space="preserve">RF-019</x:t>
  </x:si>
  <x:si>
    <x:t xml:space="preserve">pageIndex âm và pageIndex/pageSize = 0 trả 500 lộ lỗi OFFSET</x:t>
  </x:si>
  <x:si>
    <x:t xml:space="preserve">GET phan-trang-tim-kiem?pageIndex=-1&amp;pageSize=5</x:t>
  </x:si>
  <x:si>
    <x:t xml:space="preserve">400 với thông báo rõ</x:t>
  </x:si>
  <x:si>
    <x:t xml:space="preserve">demo5 xử lý cùng ca này đúng (400).</x:t>
  </x:si>
  <x:si>
    <x:t xml:space="preserve">RF-020</x:t>
  </x:si>
  <x:si>
    <x:t xml:space="preserve">Project/getAllProject trả 200 không cần Bearer, các endpoint khác trả 401</x:t>
  </x:si>
  <x:si>
    <x:t xml:space="preserve">GET không Authorization, chỉ TokenCybersoft</x:t>
  </x:si>
  <x:si>
    <x:t xml:space="preserve">401 hoặc dữ liệu công khai có chủ đích</x:t>
  </x:si>
  <x:si>
    <x:t xml:space="preserve">CANDIDATE (quan sát 11/10)</x:t>
  </x:si>
  <x:si>
    <x:t xml:space="preserve">Chỉ ghi mã và kích thước, không lưu nội dung.</x:t>
  </x:si>
  <x:si>
    <x:t xml:space="preserve">RF-021</x:t>
  </x:si>
  <x:si>
    <x:t xml:space="preserve">Mọi suất chiếu của phim 8898 đã qua ngày vẫn mở được trang đặt vé</x:t>
  </x:si>
  <x:si>
    <x:t xml:space="preserve">Mở /detail/8898, chọn suất, mở /purchase/&lt;id&gt;</x:t>
  </x:si>
  <x:si>
    <x:t xml:space="preserve">Ẩn hoặc chặn suất đã qua</x:t>
  </x:si>
  <x:si>
    <x:t xml:space="preserve">Suất 2025-12-07 và 2026-07-07.</x:t>
  </x:si>
  <x:si>
    <x:t xml:space="preserve">RF-022</x:t>
  </x:si>
  <x:si>
    <x:t xml:space="preserve">/detail/&lt;mã lạ&gt; ra trang trống, không có thông báo</x:t>
  </x:si>
  <x:si>
    <x:t xml:space="preserve">Mở /detail/999999</x:t>
  </x:si>
  <x:si>
    <x:t xml:space="preserve">Khớp RF-009; API trả 500 phía sau.</x:t>
  </x:si>
  <x:si>
    <x:t xml:space="preserve">RF-023</x:t>
  </x:si>
  <x:si>
    <x:t xml:space="preserve">Khóa học aeee222 có maDanhMucKhoahoc = "Backend" (sai hoa/thường), là dữ liệu test lẫn vào danh mục</x:t>
  </x:si>
  <x:si>
    <x:t xml:space="preserve">Đếm theo danh mục từ LayDanhSachKhoaHoc</x:t>
  </x:si>
  <x:si>
    <x:t xml:space="preserve">Một khóa học chỉ thuộc mã danh mục chuẩn</x:t>
  </x:si>
  <x:si>
    <x:t xml:space="preserve">Danh mục BackEnd: UI và API cùng hiển thị 60 (59 chuẩn cộng 1 khóa này).</x:t>
  </x:si>
  <x:si>
    <x:t xml:space="preserve">03_Lab_Spec — Đề bài / hướng dẫn người học</x:t>
  </x:si>
  <x:si>
    <x:t xml:space="preserve">Tóm tắt từng lab. Đề chi tiết từng bước nằm trong LAB-xx/TASK.md.</x:t>
  </x:si>
  <x:si>
    <x:t xml:space="preserve">Bối cảnh</x:t>
  </x:si>
  <x:si>
    <x:t xml:space="preserve">Precondition</x:t>
  </x:si>
  <x:si>
    <x:t xml:space="preserve">Nhiệm vụ chính</x:t>
  </x:si>
  <x:si>
    <x:t xml:space="preserve">Tool</x:t>
  </x:si>
  <x:si>
    <x:t xml:space="preserve">Artifact phải nộp</x:t>
  </x:si>
  <x:si>
    <x:t xml:space="preserve">Hint 1</x:t>
  </x:si>
  <x:si>
    <x:t xml:space="preserve">Hint 2</x:t>
  </x:si>
  <x:si>
    <x:t xml:space="preserve">Thời lượng</x:t>
  </x:si>
  <x:si>
    <x:t xml:space="preserve">Tài khoản test của chính mình. Cần TokenCybersoft.</x:t>
  </x:si>
  <x:si>
    <x:t xml:space="preserve">1) Khảo sát 2 form. 2) Đăng ký hợp lệ (1 lần). 3) Bỏ trống từng trường. 4) Email/mật khẩu sai định dạng. 5) Đăng nhập đúng/sai. 6) Bàn phím + màn hình 375px.</x:t>
  </x:si>
  <x:si>
    <x:t xml:space="preserve">So với đặc tả: form trống/email sai phải bị chặn; đăng nhập sai không tạo phiên.</x:t>
  </x:si>
  <x:si>
    <x:t xml:space="preserve">Mở tab Network: giao diện chặn chưa chắc server chặn, và ngược lại.</x:t>
  </x:si>
  <x:si>
    <x:t xml:space="preserve">REVIEWED</x:t>
  </x:si>
  <x:si>
    <x:t xml:space="preserve">Tài khoản test của chính mình. API công khai / Bearer JWT.</x:t>
  </x:si>
  <x:si>
    <x:t xml:space="preserve">1) Duyệt danh sách phim. 2) Tìm kiếm rỗng/ký tự lạ. 3) Mở chi tiết phim, URL mã sai. 4) Chọn cụm rạp/suất chiếu. 5) Vào sơ đồ ghế, thử ghế đã đặt. 6) Ghi quan sát + rủi ro.</x:t>
  </x:si>
  <x:si>
    <x:t xml:space="preserve">Thử URL /detail/&lt;mã sai&gt;, tìm kiếm rỗng/ký tự lạ, chọn ghế đã đặt.</x:t>
  </x:si>
  <x:si>
    <x:t xml:space="preserve">API movie0706 công khai: mở Network xem dữ liệu phim (đánh giá, ngày chiếu).</x:t>
  </x:si>
  <x:si>
    <x:t xml:space="preserve">1) Tìm phòng theo vị trí. 2) Lọc giá/loại. 3) Mở chi tiết phòng. 4) Chọn ngày/số khách (ca biên). 5) Đặt phòng (đăng nhập). 6) Hủy đặt phòng để dọn.</x:t>
  </x:si>
  <x:si>
    <x:t xml:space="preserve">Ca biên: ngày trả trước ngày nhận, số khách 0, đặt khi chưa đăng nhập.</x:t>
  </x:si>
  <x:si>
    <x:t xml:space="preserve">Dọn dữ liệu: hủy đặt phòng mình vừa tạo.</x:t>
  </x:si>
  <x:si>
    <x:t xml:space="preserve">1) Đọc Swagger hospital. 2) Đăng ký/đăng nhập lấy Bearer token. 3) Sai mật khẩu -&gt; 401. 4) Đọc Doctor/Branch (200). 5) So sánh cơ chế auth với demo2. 6) Ghi assertion.</x:t>
  </x:si>
  <x:si>
    <x:t xml:space="preserve">demo6 dùng Authorization: Bearer &lt;token&gt;, KHÔNG có TokenCybersoft.</x:t>
  </x:si>
  <x:si>
    <x:t xml:space="preserve">Kiểm 200 danh mục công khai; sai đăng nhập phải 401, không 500.</x:t>
  </x:si>
  <x:si>
    <x:t xml:space="preserve">1) signin lấy token. 2) createProject. 3) createTask. 4) updateStatus/assign. 5) getProjectDetail đối chiếu. 6) deleteProject dọn dữ liệu.</x:t>
  </x:si>
  <x:si>
    <x:t xml:space="preserve">Dùng biến để truyền id giữa các request; luôn đọc lại sau khi ghi.</x:t>
  </x:si>
  <x:si>
    <x:t xml:space="preserve">Chỉ thao tác trên project/task mình tạo; không sửa/xóa của người khác.</x:t>
  </x:si>
  <x:si>
    <x:t xml:space="preserve">1) Chạy folder Negative. 2) pageIndex=0/âm. 3) id không tồn tại. 4) Sai phương thức. 5) Thiếu token -&gt; 403. 6) Kiểm body có lộ stack không.</x:t>
  </x:si>
  <x:si>
    <x:t xml:space="preserve">phan-trang-tim-kiem: pageIndex=0/âm, keyword ký tự đặc biệt.</x:t>
  </x:si>
  <x:si>
    <x:t xml:space="preserve">Thiếu tokenCybersoft phải 403; id không tồn tại phải 404, không 500.</x:t>
  </x:si>
  <x:si>
    <x:t xml:space="preserve">1) Lấy JSON phim (API công khai). 2) Kiểm đánh giá 0..10. 3) Tên phim trùng. 4) moTa/trailer rỗng. 5) Mã phim không tồn tại (500?). 6) Ghi finding + query.</x:t>
  </x:si>
  <x:si>
    <x:t xml:space="preserve">API công khai: LayDanhSachPhim?maNhom=GP01. Kiểm đánh giá 0..10, tên trùng, ngày.</x:t>
  </x:si>
  <x:si>
    <x:t xml:space="preserve">Ghi rõ query/logic để chạy lại được; đính response làm evidence.</x:t>
  </x:si>
  <x:si>
    <x:t xml:space="preserve">1) Đếm khóa hiển thị 1 danh mục. 2) Gọi API cùng danh mục. 3) So tổng số. 4) Phân trang không trùng/thiếu. 5) Chi tiết 1 khóa UI vs API. 6) Ghi lệch.</x:t>
  </x:si>
  <x:si>
    <x:t xml:space="preserve">So số khóa trên trang với response LayDanhSachKhoaHoc; tổng phải khớp.</x:t>
  </x:si>
  <x:si>
    <x:t xml:space="preserve">Cần TokenCybersoft cho API; UI thì không.</x:t>
  </x:si>
  <x:si>
    <x:t xml:space="preserve">Tài khoản test của chính mình. Chạy offline.</x:t>
  </x:si>
  <x:si>
    <x:t xml:space="preserve">1) Tạo snapshot SQLite. 2) GROUP BY/HAVING email trùng. 3) LEFT JOIN tìm mồ côi. 4) Ghi ID + query. 5) --clean reset. 6) Chạy lại kiểm 0 dòng.</x:t>
  </x:si>
  <x:si>
    <x:t xml:space="preserve">GROUP BY/HAVING tìm email trùng; LEFT JOIN ... IS NULL tìm bản ghi mồ côi.</x:t>
  </x:si>
  <x:si>
    <x:t xml:space="preserve">Reset: python data/create_snapshot.py --clean rồi chạy lại không tham số.</x:t>
  </x:si>
  <x:si>
    <x:t xml:space="preserve">1) npm install + browsers. 2) Test đăng nhập đúng. 3) Sai mật khẩu. 4) Bỏ trống. 5) Chạy 2 lần. 6) Phân loại fail (sản phẩm/test/môi trường).</x:t>
  </x:si>
  <x:si>
    <x:t xml:space="preserve">Playwright (TS)</x:t>
  </x:si>
  <x:si>
    <x:t xml:space="preserve">Locator theo nhãn/role, không theo placeholder dễ vỡ; chờ theo điều kiện, không sleep.</x:t>
  </x:si>
  <x:si>
    <x:t xml:space="preserve">Chạy 2 lần: fail thất thường = nghi test/timing, fail đều = nghi sản phẩm.</x:t>
  </x:si>
  <x:si>
    <x:t xml:space="preserve">1) Mở phim. 2) Chọn cụm rạp/suất. 3) Bắt response suất chiếu. 4) Vào sơ đồ ghế. 5) Dừng trước thanh toán. 6) Report + trace.</x:t>
  </x:si>
  <x:si>
    <x:t xml:space="preserve">Bắt response API để xác nhận suất chiếu/phòng vé; không tự thanh toán.</x:t>
  </x:si>
  <x:si>
    <x:t xml:space="preserve">Dùng tài khoản test; không đặt vé thật ngoài phạm vi lab.</x:t>
  </x:si>
  <x:si>
    <x:t xml:space="preserve">1) Chọn ≥6 luồng. 2) Data-driven nhiều phim/khóa. 3) Gắn @smoke. 4) Chạy smoke + full. 5) Phân loại fail. 6) Kết luận GO/NO-GO.</x:t>
  </x:si>
  <x:si>
    <x:t xml:space="preserve">Gắn tag @smoke cho luồng chính; data-driven qua nhiều phim/khóa học.</x:t>
  </x:si>
  <x:si>
    <x:t xml:space="preserve">Kết luận GO/NO-GO phải dựa trên kết quả, nêu rủi ro release.</x:t>
  </x:si>
  <x:si>
    <x:t xml:space="preserve">04_Rubric — Tiêu chí chấm</x:t>
  </x:si>
  <x:si>
    <x:t xml:space="preserve">Rubric chung 10 điểm/lab. Có thể điều chỉnh trọng số theo loại Manual/API/Data/Automation.</x:t>
  </x:si>
  <x:si>
    <x:t xml:space="preserve">Tiêu chí 1</x:t>
  </x:si>
  <x:si>
    <x:t xml:space="preserve">Điểm</x:t>
  </x:si>
  <x:si>
    <x:t xml:space="preserve">Tiêu chí 2</x:t>
  </x:si>
  <x:si>
    <x:t xml:space="preserve">Tiêu chí 3</x:t>
  </x:si>
  <x:si>
    <x:t xml:space="preserve">Tổng điểm</x:t>
  </x:si>
  <x:si>
    <x:t xml:space="preserve">Coverage &amp; kiểm tra có căn cứ</x:t>
  </x:si>
  <x:si>
    <x:t xml:space="preserve">Bước/expected/actual hoặc query/assertion chạy lại được</x:t>
  </x:si>
  <x:si>
    <x:t xml:space="preserve">Evidence, phân loại severity/rủi ro</x:t>
  </x:si>
  <x:si>
    <x:t xml:space="preserve">Rubric bổ sung dùng khi chấm artifact</x:t>
  </x:si>
  <x:si>
    <x:t xml:space="preserve">Mức</x:t>
  </x:si>
  <x:si>
    <x:t xml:space="preserve">Điểm gợi ý</x:t>
  </x:si>
  <x:si>
    <x:t xml:space="preserve">Tốt</x:t>
  </x:si>
  <x:si>
    <x:t xml:space="preserve">9–10</x:t>
  </x:si>
  <x:si>
    <x:t xml:space="preserve">Đúng kỹ thuật, evidence đầy đủ, giải thích risk rõ, artifact sạch.</x:t>
  </x:si>
  <x:si>
    <x:t xml:space="preserve">Đạt</x:t>
  </x:si>
  <x:si>
    <x:t xml:space="preserve">7–8</x:t>
  </x:si>
  <x:si>
    <x:t xml:space="preserve">Hoàn thành phần chính, còn thiếu nhẹ evidence/edge case.</x:t>
  </x:si>
  <x:si>
    <x:t xml:space="preserve">Cần cải thiện</x:t>
  </x:si>
  <x:si>
    <x:t xml:space="preserve">5–6</x:t>
  </x:si>
  <x:si>
    <x:t xml:space="preserve">Coverage mỏng hoặc report khó tái hiện.</x:t>
  </x:si>
  <x:si>
    <x:t xml:space="preserve">Chưa đạt</x:t>
  </x:si>
  <x:si>
    <x:t xml:space="preserve">&lt;5</x:t>
  </x:si>
  <x:si>
    <x:t xml:space="preserve">Sai flow/chưa tạo artifact/chưa chứng minh kết quả.</x:t>
  </x:si>
  <x:si>
    <x:t xml:space="preserve">05_Artifact_Matrix — Sản phẩm nghề nghiệp</x:t>
  </x:si>
  <x:si>
    <x:t xml:space="preserve">Mỗi lab phải tạo ít nhất một artifact nghề nghiệp có thể xem/chấm/lưu bằng chứng.</x:t>
  </x:si>
  <x:si>
    <x:t xml:space="preserve">Artifact yêu cầu</x:t>
  </x:si>
  <x:si>
    <x:t xml:space="preserve">Định dạng</x:t>
  </x:si>
  <x:si>
    <x:t xml:space="preserve">Có template?</x:t>
  </x:si>
  <x:si>
    <x:t xml:space="preserve">Đã tạo?</x:t>
  </x:si>
  <x:si>
    <x:t xml:space="preserve">Đường dẫn/Evidence</x:t>
  </x:si>
  <x:si>
    <x:t xml:space="preserve">CSV</x:t>
  </x:si>
  <x:si>
    <x:t xml:space="preserve">Y</x:t>
  </x:si>
  <x:si>
    <x:t xml:space="preserve">N</x:t>
  </x:si>
  <x:si>
    <x:t xml:space="preserve">LAB-01/template.csv</x:t>
  </x:si>
  <x:si>
    <x:t xml:space="preserve">Có template; chưa có bài pilot/evidence.</x:t>
  </x:si>
  <x:si>
    <x:t xml:space="preserve">LAB-02/template.csv</x:t>
  </x:si>
  <x:si>
    <x:t xml:space="preserve">LAB-03/template.csv</x:t>
  </x:si>
  <x:si>
    <x:t xml:space="preserve">JSON/CSV</x:t>
  </x:si>
  <x:si>
    <x:t xml:space="preserve">LAB-04/LAB04_Auth_API.postman_collection.json; reports/2026-09-23-LAB04-swagger-check.json</x:t>
  </x:si>
  <x:si>
    <x:t xml:space="preserve">Có collection và evidence Swagger; auth còn NEEDS VERIFICATION.</x:t>
  </x:si>
  <x:si>
    <x:t xml:space="preserve">LAB-05/template.csv</x:t>
  </x:si>
  <x:si>
    <x:t xml:space="preserve">Đã có Postman collection + template CSV; chờ chạy pilot.</x:t>
  </x:si>
  <x:si>
    <x:t xml:space="preserve">LAB-06/template.csv</x:t>
  </x:si>
  <x:si>
    <x:t xml:space="preserve">LAB-07/LAB07_Data_Check.csv; reports/2026-09-23-LAB07-data-check.json</x:t>
  </x:si>
  <x:si>
    <x:t xml:space="preserve">Đã tạo artifact và có evidence thực thi.</x:t>
  </x:si>
  <x:si>
    <x:t xml:space="preserve">LAB-08/template.csv</x:t>
  </x:si>
  <x:si>
    <x:t xml:space="preserve">LAB-09/LAB09_Data_Quality_Findings.csv; reports/2026-09-23-LAB09-sql-reset-verification.json</x:t>
  </x:si>
  <x:si>
    <x:t xml:space="preserve">Đã tạo artifact, kiểm buggy → clean → buggy PASS.</x:t>
  </x:si>
  <x:si>
    <x:t xml:space="preserve">TS/HTML/CSV</x:t>
  </x:si>
  <x:si>
    <x:t xml:space="preserve">automation/tests/lab10-login.spec.ts; reports/2026-09-23-LAB10-playwright-summary.md</x:t>
  </x:si>
  <x:si>
    <x:t xml:space="preserve">Có test và summary; kết quả BLOCKED do account demo2.</x:t>
  </x:si>
  <x:si>
    <x:t xml:space="preserve">automation/tests/lab11-booking.spec.ts; LAB-11/template.csv</x:t>
  </x:si>
  <x:si>
    <x:t xml:space="preserve">Có starter script; chưa có run report/evidence.</x:t>
  </x:si>
  <x:si>
    <x:t xml:space="preserve">automation/tests/lab12-regression.spec.ts; LAB-12/template.csv</x:t>
  </x:si>
  <x:si>
    <x:t xml:space="preserve">06_Execution — Chạy thử lab</x:t>
  </x:si>
  <x:si>
    <x:t xml:space="preserve">Run ID</x:t>
  </x:si>
  <x:si>
    <x:t xml:space="preserve">Ngày chạy</x:t>
  </x:si>
  <x:si>
    <x:t xml:space="preserve">Người chạy</x:t>
  </x:si>
  <x:si>
    <x:t xml:space="preserve">Setup OK?</x:t>
  </x:si>
  <x:si>
    <x:t xml:space="preserve">Fault phát hiện</x:t>
  </x:si>
  <x:si>
    <x:t xml:space="preserve">Artifact tạo được?</x:t>
  </x:si>
  <x:si>
    <x:t xml:space="preserve">Kết quả</x:t>
  </x:si>
  <x:si>
    <x:t xml:space="preserve">Evidence</x:t>
  </x:si>
  <x:si>
    <x:t xml:space="preserve">RUN-01</x:t>
  </x:si>
  <x:si>
    <x:t xml:space="preserve">11/10/2026</x:t>
  </x:si>
  <x:si>
    <x:t xml:space="preserve">Tran_Quoc_Nguyen (chạy bằng Chrome + sandbox, AI hỗ trợ)</x:t>
  </x:si>
  <x:si>
    <x:t xml:space="preserve">reports/2026-10-11-lab-runs.md</x:t>
  </x:si>
  <x:si>
    <x:t xml:space="preserve">Đăng nhập sai/thân rỗng/thiếu mật khẩu qua API → HTTP 500 (kỳ vọng 401/400); DOM 7/7 input không required. Chưa gửi form trống trên UI và chưa đăng ký (sẽ tạo tài khoản).</x:t>
  </x:si>
  <x:si>
    <x:t xml:space="preserve">RUN-02</x:t>
  </x:si>
  <x:si>
    <x:t xml:space="preserve">/detail/999999 ra trang trống; cả 3 suất chiếu đã qua ngày vẫn mở được; logo lỗi. Chưa thử tìm kiếm ký tự lạ.</x:t>
  </x:si>
  <x:si>
    <x:t xml:space="preserve">RUN-03</x:t>
  </x:si>
  <x:si>
    <x:t xml:space="preserve">API đọc/negative đúng (404, 400, 400). Title có dấu backtick. Ca đặt phòng biên chưa chạy vì sẽ tạo bản ghi.</x:t>
  </x:si>
  <x:si>
    <x:t xml:space="preserve">RUN-04</x:t>
  </x:si>
  <x:si>
    <x:t xml:space="preserve">FINDINGS CONFIRMED (auth hợp lệ chưa chạy)</x:t>
  </x:si>
  <x:si>
    <x:t xml:space="preserve">reports/2026-10-11-lab-runs.md; reports/2026-10-11-live-recheck.md</x:t>
  </x:si>
  <x:si>
    <x:t xml:space="preserve">Đăng nhập sai → 500; GET không token mở Patient/User/Invoices. Đăng nhập/đăng ký hợp lệ chờ tài khoản demo6.</x:t>
  </x:si>
  <x:si>
    <x:t xml:space="preserve">RUN-05</x:t>
  </x:si>
  <x:si>
    <x:t xml:space="preserve">3</x:t>
  </x:si>
  <x:si>
    <x:t xml:space="preserve">CHỜ CHẠY POSTMAN (đã có collection)</x:t>
  </x:si>
  <x:si>
    <x:t xml:space="preserve">11/10: LAB-05 là lab API (Postman + Swagger), KHÔNG chạy bằng đăng nhập web. Web demo3 chỉ dùng tham khảo: validation form OK; project do người dùng tạo tay ID 16802 hiện Members 7 người dù chưa gán (nghi lỗi); /projects/16802 chỉ hiện 'Project detail page goes here'. Chạy chính thức: import LAB-05/LAB05_Postman_Collection.json, điền TokenCybersoft + userEmail + userPassword, Run collection (11 request, có test tự động, tự dọn project/task QA-LAB05); điền kết quả vào LAB05_API_Report.csv. Chỉ đọc trước đó: getAllProject mở không cần Bearer.</x:t>
  </x:si>
  <x:si>
    <x:t xml:space="preserve">RUN-06</x:t>
  </x:si>
  <x:si>
    <x:t xml:space="preserve">pageIndex âm và 0 → 500; keyword có dấu nháy → 500 lộ câu lỗi SQL Server (ứng viên SQL injection). Đúng: id lạ 404, id chữ 400, thiếu token 403.</x:t>
  </x:si>
  <x:si>
    <x:t xml:space="preserve">RUN-07</x:t>
  </x:si>
  <x:si>
    <x:t xml:space="preserve">reports/2026-10-11-live-recheck.md; LAB-07/LAB07_Data_Check.csv</x:t>
  </x:si>
  <x:si>
    <x:t xml:space="preserve">5/5 kiểm tra phát hiện lỗi. Bản 23/09 ghi PASS là sai.</x:t>
  </x:si>
  <x:si>
    <x:t xml:space="preserve">RUN-08</x:t>
  </x:si>
  <x:si>
    <x:t xml:space="preserve">UI BackEnd 60 = API 60; tổng 248 khớp tổng theo danh mục. 1 lưu ý dữ liệu: khóa aeee222 mang danh mục "Backend" sai hoa/thường.</x:t>
  </x:si>
  <x:si>
    <x:t xml:space="preserve">RUN-09</x:t>
  </x:si>
  <x:si>
    <x:t xml:space="preserve">reports/2026-10-11-LAB09-sql-reset-verification.json</x:t>
  </x:si>
  <x:si>
    <x:t xml:space="preserve">Chạy lại 11/10: buggy 1 email trùng + 1 attempt mồ côi; clean 0; khôi phục buggy đúng.</x:t>
  </x:si>
  <x:si>
    <x:t xml:space="preserve">RUN-10</x:t>
  </x:si>
  <x:si>
    <x:t xml:space="preserve">reports/2026-09-23-LAB10-playwright-summary.md</x:t>
  </x:si>
  <x:si>
    <x:t xml:space="preserve">Locator mới đã kiểm trên DOM thật (1 form có nút Đăng nhập). Playwright chưa chạy lại: sandbox không vào được demo2 và cần DEMO2_USER/DEMO2_PASSWORD trên máy bạn.</x:t>
  </x:si>
  <x:si>
    <x:t xml:space="preserve">RUN-11</x:t>
  </x:si>
  <x:si>
    <x:t xml:space="preserve">Thủ công: phim → suất chiếu → sơ đồ ghế, dừng trước thanh toán. Phát hiện suất chiếu đã qua. booking.spec.ts chưa chạy.</x:t>
  </x:si>
  <x:si>
    <x:t xml:space="preserve">RUN-12</x:t>
  </x:si>
  <x:si>
    <x:t xml:space="preserve">8 kiểm tra: 5 đạt, 3 trượt (MaPhim lạ → 500, /detail/&lt;mã lạ&gt; trang trống, suất chiếu đã qua). regression.spec.ts chưa chạy.</x:t>
  </x:si>
  <x:si>
    <x:t xml:space="preserve">08_AI_Worklog — AI hỗ trợ và human verification</x:t>
  </x:si>
  <x:si>
    <x:t xml:space="preserve">Ghi AI đề xuất gì, bạn kiểm chứng độc lập như thế nào, AI sai/chưa đủ ở đâu và quyết định cuối cùng của bạn.</x:t>
  </x:si>
  <x:si>
    <x:t xml:space="preserve">STT</x:t>
  </x:si>
  <x:si>
    <x:t xml:space="preserve">Việc</x:t>
  </x:si>
  <x:si>
    <x:t xml:space="preserve">AI đề xuất</x:t>
  </x:si>
  <x:si>
    <x:t xml:space="preserve">Kiểm chứng độc lập</x:t>
  </x:si>
  <x:si>
    <x:t xml:space="preserve">AI sai/chưa đủ</x:t>
  </x:si>
  <x:si>
    <x:t xml:space="preserve">Quyết định cuối</x:t>
  </x:si>
  <x:si>
    <x:t xml:space="preserve">Chọn môi trường thực hành</x:t>
  </x:si>
  <x:si>
    <x:t xml:space="preserve">AI đề xuất web thực hành riêng (lab-app)</x:t>
  </x:si>
  <x:si>
    <x:t xml:space="preserve">User đánh giá quá sơ sài; chốt dùng 6 demo thật của CyberSoft</x:t>
  </x:si>
  <x:si>
    <x:t xml:space="preserve">Web tự dựng quá đơn giản, không đáng công</x:t>
  </x:si>
  <x:si>
    <x:t xml:space="preserve">BỎ lab-app, dùng demo1..demo6 + fixture SQL</x:t>
  </x:si>
  <x:si>
    <x:t xml:space="preserve">PHUONG_AN_MOI_TRUONG.md</x:t>
  </x:si>
  <x:si>
    <x:t xml:space="preserve">Khảo sát 6 demo</x:t>
  </x:si>
  <x:si>
    <x:t xml:space="preserve">AI mở Swagger/HTML từng site</x:t>
  </x:si>
  <x:si>
    <x:t xml:space="preserve">Đã đối chiếu Swagger/API và evidence ngày 22–23/09.</x:t>
  </x:si>
  <x:si>
    <x:t xml:space="preserve">UI chưa được pilot đầy đủ; RF-001, RF-002 và RF-004 không tái hiện ở lần kiểm 23/09.</x:t>
  </x:si>
  <x:si>
    <x:t xml:space="preserve">Giữ RF-003 là VERIFIED; RF-005/RF-007 là teaching point; mục còn lại CANDIDATE hoặc NOT REPRODUCED.</x:t>
  </x:si>
  <x:si>
    <x:t xml:space="preserve">02_Fault_Manifest (RF-*); reports/2026-09-23-LAB07-data-check.json</x:t>
  </x:si>
  <x:si>
    <x:t xml:space="preserve">Tách controlled fault khỏi bug thật</x:t>
  </x:si>
  <x:si>
    <x:t xml:space="preserve">Demo dùng chung không phù hợp để cài fault trực tiếp.</x:t>
  </x:si>
  <x:si>
    <x:t xml:space="preserve">Đối chiếu 12 controlled faults với fixture manifest và reports.</x:t>
  </x:si>
  <x:si>
    <x:t xml:space="preserve">Không reset toàn bộ demo chung; không được suy diễn fault thành bug thật.</x:t>
  </x:si>
  <x:si>
    <x:t xml:space="preserve">Dùng fixture cho lỗi chủ đích; RF-* chỉ được VERIFIED khi có evidence thực thi.</x:t>
  </x:si>
  <x:si>
    <x:t xml:space="preserve">Phần SQL</x:t>
  </x:si>
  <x:si>
    <x:t xml:space="preserve">Giữ fixture SQLite offline của Codex</x:t>
  </x:si>
  <x:si>
    <x:t xml:space="preserve">Đáp ứng "SQL data test" mà không cần DB chung</x:t>
  </x:si>
  <x:si>
    <x:t xml:space="preserve">Chưa có hạn chế mới; cần người dùng tự mở SQLite và đối chiếu query.</x:t>
  </x:si>
  <x:si>
    <x:t xml:space="preserve">LAB-09 chạy offline, reset được</x:t>
  </x:si>
  <x:si>
    <x:t xml:space="preserve">data/create_snapshot.py</x:t>
  </x:si>
  <x:si>
    <x:t xml:space="preserve">Kéo code mới nhất</x:t>
  </x:si>
  <x:si>
    <x:t xml:space="preserve">Repo GitHub đi trước 20 commit (day15/day16)</x:t>
  </x:si>
  <x:si>
    <x:t xml:space="preserve">AI kiểm: pull an toàn, không đụng file đã sửa</x:t>
  </x:si>
  <x:si>
    <x:t xml:space="preserve">AI không chạy git trên máy được</x:t>
  </x:si>
  <x:si>
    <x:t xml:space="preserve">User tự chạy git pull --ff-only</x:t>
  </x:si>
  <x:si>
    <x:t xml:space="preserve">Hướng dẫn trong chat</x:t>
  </x:si>
  <x:si>
    <x:t xml:space="preserve">6</x:t>
  </x:si>
  <x:si>
    <x:t xml:space="preserve">Chạy runtime và tổng hợp checkpoint 21/09</x:t>
  </x:si>
  <x:si>
    <x:t xml:space="preserve">Chạy Swagger demo6, API data check, SQLite reset, fixture và Playwright LAB-10.</x:t>
  </x:si>
  <x:si>
    <x:t xml:space="preserve">LAB-04 endpoint/schema xác nhận; LAB-07 4/4 rule pass; LAB-09 reset PASS; LAB-10 negative/smoke 6/6 pass khi lặp.</x:t>
  </x:si>
  <x:si>
    <x:t xml:space="preserve">LAB-04 chưa có account demo6; credential demo2 được cung cấp không đăng nhập được; chưa đủ bằng chứng kết luận lỗi product.</x:t>
  </x:si>
  <x:si>
    <x:t xml:space="preserve">Ghi PASS cho kiểm tra có evidence; giữ LAB-04 partial, LAB-10 BLOCKED và các lab chưa pilot ở NEEDS PILOT.</x:t>
  </x:si>
  <x:si>
    <x:t xml:space="preserve">reports/2026-09-23-LAB04-swagger-check.json; reports/2026-09-23-LAB07-data-check.json; reports/2026-09-23-LAB09-sql-reset-verification.json; reports/2026-09-23-LAB10-playwright-summary.md</x:t>
  </x:si>
  <x:si>
    <x:t xml:space="preserve">7</x:t>
  </x:si>
  <x:si>
    <x:t xml:space="preserve">Kiểm lại và chạy thật 12 lab (11/10)</x:t>
  </x:si>
  <x:si>
    <x:t xml:space="preserve">Mở từng demo, gọi API chỉ đọc và request sai có chủ đích</x:t>
  </x:si>
  <x:si>
    <x:t xml:space="preserve">Đối chiếu số liệu 23/09 với dữ liệu hiện tại</x:t>
  </x:si>
  <x:si>
    <x:t xml:space="preserve">Báo cáo 23/09 ghi LAB-07 "0 lỗi, PASS" là sai: cả 4 lỗi vẫn còn. Chưa rõ nguyên nhân.</x:t>
  </x:si>
  <x:si>
    <x:t xml:space="preserve">Đổi RF-001..004 sang VERIFIED 11/10, thêm RF-013..016, đổi kết quả LAB-07 thành FINDINGS CONFIRMED</x:t>
  </x:si>
  <x:si>
    <x:t xml:space="preserve">reports/2026-10-11-live-recheck.md; reports/2026-10-11-lab-runs.md</x:t>
  </x:si>
  <x:si>
    <x:t xml:space="preserve">Việc người thực tập cần tự xác nhận trước khi nộp</x:t>
  </x:si>
  <x:si>
    <x:t xml:space="preserve">Việc tự làm</x:t>
  </x:si>
  <x:si>
    <x:t xml:space="preserve">Xong?</x:t>
  </x:si>
  <x:si>
    <x:t xml:space="preserve">Chạy thử ít nhất 1 lab đại diện mỗi nhóm Manual/API/Data/Automation</x:t>
  </x:si>
  <x:si>
    <x:t xml:space="preserve">Tự xem Fault Manifest và xác nhận fault không vô tình lộ cho người học</x:t>
  </x:si>
  <x:si>
    <x:t xml:space="preserve">Chạy reset rồi rerun ít nhất 1 lab để kiểm reproducibility</x:t>
  </x:si>
  <x:si>
    <x:t xml:space="preserve">Chỉ LAB-09 có vòng buggy → clean → buggy. Test fixture 3/3 chỉ kiểm copy file nên chưa đủ cho mục này.</x:t>
  </x:si>
  <x:si>
    <x:t xml:space="preserve">Mở artifact đầu ra và tự chấm thử theo rubric</x:t>
  </x:si>
  <x:si>
    <x:t xml:space="preserve">Rà lại AI đề xuất nào không phù hợp project và ghi quyết định</x:t>
  </x:si>
  <x:si>
    <x:t xml:space="preserve">PHUONG_AN_MOI_TRUONG.md; quyết định bỏ lab-app</x:t>
  </x:si>
  <x:si>
    <x:t xml:space="preserve">09_Instructor_Guide — Solution / hướng dẫn người chấm</x:t>
  </x:si>
  <x:si>
    <x:t xml:space="preserve">Không phát sheet 02, fixtures/manifest.json hoặc thư mục instructor cho học viên trước khi nộp.</x:t>
  </x:si>
  <x:si>
    <x:t xml:space="preserve">Setup chính</x:t>
  </x:si>
  <x:si>
    <x:t xml:space="preserve">Expected faults</x:t>
  </x:si>
  <x:si>
    <x:t xml:space="preserve">Expected artifact</x:t>
  </x:si>
  <x:si>
    <x:t xml:space="preserve">Điểm cần quan sát</x:t>
  </x:si>
  <x:si>
    <x:t xml:space="preserve">Solution / đáp án tóm tắt</x:t>
  </x:si>
  <x:si>
    <x:t xml:space="preserve">Rubric</x:t>
  </x:si>
  <x:si>
    <x:t xml:space="preserve">Reset</x:t>
  </x:si>
  <x:si>
    <x:t xml:space="preserve">Chuẩn bị tài khoản STUDENT test trên demo2</x:t>
  </x:si>
  <x:si>
    <x:t xml:space="preserve">F-D14-001; demo: RF-008</x:t>
  </x:si>
  <x:si>
    <x:t xml:space="preserve">Xem 02_Fault_Manifest; chấp nhận phát hiện ngoài danh sách nếu tái hiện được.</x:t>
  </x:si>
  <x:si>
    <x:t xml:space="preserve">Controlled fault F-D14-001: Form thiếu khai báo/chặn đủ trường bắt buộc.</x:t>
  </x:si>
  <x:si>
    <x:t xml:space="preserve">Coverage form, ca âm rõ</x:t>
  </x:si>
  <x:si>
    <x:t xml:space="preserve">Fixture: buggy → clean → buggy; demo: cleanup dữ liệu của mình</x:t>
  </x:si>
  <x:si>
    <x:t xml:space="preserve">FINDINGS CONFIRMED (một phần) — chờ pilot người học</x:t>
  </x:si>
  <x:si>
    <x:t xml:space="preserve">Mở demo1, không cần token</x:t>
  </x:si>
  <x:si>
    <x:t xml:space="preserve">F-D14-002; demo: RF-009</x:t>
  </x:si>
  <x:si>
    <x:t xml:space="preserve">Controlled fault F-D14-002: Mã phim không tồn tại bị trả 500 thay vì 404.</x:t>
  </x:si>
  <x:si>
    <x:t xml:space="preserve">Tách quan sát/bug, charter</x:t>
  </x:si>
  <x:si>
    <x:t xml:space="preserve">FINDINGS CONFIRMED — chờ pilot người học</x:t>
  </x:si>
  <x:si>
    <x:t xml:space="preserve">Tài khoản test demo5</x:t>
  </x:si>
  <x:si>
    <x:t xml:space="preserve">F-D14-003; demo: RF-011</x:t>
  </x:si>
  <x:si>
    <x:t xml:space="preserve">Controlled fault F-D14-003: Ngày trả trước ngày nhận và 0 khách vẫn được chấp nhận.</x:t>
  </x:si>
  <x:si>
    <x:t xml:space="preserve">Decision table đặt phòng</x:t>
  </x:si>
  <x:si>
    <x:t xml:space="preserve">MỘT PHẦN — chờ pilot người học</x:t>
  </x:si>
  <x:si>
    <x:t xml:space="preserve">Cấp Bearer token demo6 (đăng ký/đăng nhập)</x:t>
  </x:si>
  <x:si>
    <x:t xml:space="preserve">F-D14-004; demo: RF-005/RF-006</x:t>
  </x:si>
  <x:si>
    <x:t xml:space="preserve">Controlled fault F-D14-004: Dùng sai TokenCybersoft thay cho Authorization Bearer.</x:t>
  </x:si>
  <x:si>
    <x:t xml:space="preserve">Phân biệt Bearer vs TokenCybersoft</x:t>
  </x:si>
  <x:si>
    <x:t xml:space="preserve">FINDINGS CONFIRMED — auth hợp lệ NEEDS VERIFICATION — chờ pilot người học</x:t>
  </x:si>
  <x:si>
    <x:t xml:space="preserve">Cấp TokenCybersoft demo3</x:t>
  </x:si>
  <x:si>
    <x:t xml:space="preserve">F-D14-005; demo: RF-010</x:t>
  </x:si>
  <x:si>
    <x:t xml:space="preserve">Controlled fault F-D14-005: Cho phép user khác sửa tài nguyên không thuộc quyền sở hữu.</x:t>
  </x:si>
  <x:si>
    <x:t xml:space="preserve">Chuỗi CRUD + dọn dữ liệu</x:t>
  </x:si>
  <x:si>
    <x:t xml:space="preserve">BLOCKED (thiếu tài khoản demo3) — chờ pilot người học</x:t>
  </x:si>
  <x:si>
    <x:t xml:space="preserve">Cấp TokenCybersoft demo4</x:t>
  </x:si>
  <x:si>
    <x:t xml:space="preserve">F-D14-006; demo: RF-007/RF-012</x:t>
  </x:si>
  <x:si>
    <x:t xml:space="preserve">Controlled fault F-D14-006: Input phân trang âm gây 500 và lộ stack trace.</x:t>
  </x:si>
  <x:si>
    <x:t xml:space="preserve">Đủ loại lỗi 400/401/403/404/500</x:t>
  </x:si>
  <x:si>
    <x:t xml:space="preserve">Không cần token (movie0706 công khai)</x:t>
  </x:si>
  <x:si>
    <x:t xml:space="preserve">F-D14-007; demo: RF-001..004</x:t>
  </x:si>
  <x:si>
    <x:t xml:space="preserve">Controlled fault F-D14-007: danhGia có giá trị ngoài khoảng 0..10.</x:t>
  </x:si>
  <x:si>
    <x:t xml:space="preserve">Quy tắc dữ liệu -&gt; query</x:t>
  </x:si>
  <x:si>
    <x:t xml:space="preserve">Cấp TokenCybersoft demo2</x:t>
  </x:si>
  <x:si>
    <x:t xml:space="preserve">F-D14-008; demo: Tự khám phá</x:t>
  </x:si>
  <x:si>
    <x:t xml:space="preserve">Controlled fault F-D14-008: Tổng số khóa học UI và API không khớp cùng bộ lọc.</x:t>
  </x:si>
  <x:si>
    <x:t xml:space="preserve">Đối chiếu UI-API, phân trang</x:t>
  </x:si>
  <x:si>
    <x:t xml:space="preserve">PASS — chờ pilot người học</x:t>
  </x:si>
  <x:si>
    <x:t xml:space="preserve">Phát file SQLite (data/)</x:t>
  </x:si>
  <x:si>
    <x:t xml:space="preserve">F-D14-009; demo: Fixture SQL</x:t>
  </x:si>
  <x:si>
    <x:t xml:space="preserve">Controlled fault F-D14-009: Email trùng sau chuẩn hóa và attempt mồ côi.</x:t>
  </x:si>
  <x:si>
    <x:t xml:space="preserve">GROUP BY/HAVING, LEFT JOIN</x:t>
  </x:si>
  <x:si>
    <x:t xml:space="preserve">demo2 chạy Playwright</x:t>
  </x:si>
  <x:si>
    <x:t xml:space="preserve">F-D14-010; demo: RF-008 sau pilot</x:t>
  </x:si>
  <x:si>
    <x:t xml:space="preserve">Controlled fault F-D14-010: Automation dùng selector class sinh tự động, dễ vỡ.</x:t>
  </x:si>
  <x:si>
    <x:t xml:space="preserve">Locator bền, không sleep</x:t>
  </x:si>
  <x:si>
    <x:t xml:space="preserve">BLOCKED — chờ pilot người học</x:t>
  </x:si>
  <x:si>
    <x:t xml:space="preserve">demo1 chạy Playwright</x:t>
  </x:si>
  <x:si>
    <x:t xml:space="preserve">F-D14-011; demo: Tự khám phá</x:t>
  </x:si>
  <x:si>
    <x:t xml:space="preserve">Controlled fault F-D14-011: Ghế BOOKED vẫn được hiển thị có thể chọn.</x:t>
  </x:si>
  <x:si>
    <x:t xml:space="preserve">Bắt response, dừng trước thanh toán</x:t>
  </x:si>
  <x:si>
    <x:t xml:space="preserve">Chọn demo, gắn @smoke</x:t>
  </x:si>
  <x:si>
    <x:t xml:space="preserve">F-D14-012; demo: RF-001..004</x:t>
  </x:si>
  <x:si>
    <x:t xml:space="preserve">Controlled fault F-D14-012: Regression case ID trùng và ca ghi dữ liệu thiếu cleanup.</x:t>
  </x:si>
  <x:si>
    <x:t xml:space="preserve">Data-driven, kết luận GO/NO-GO</x:t>
  </x:si>
  <x:si>
    <x:t xml:space="preserve">NO-GO — chờ pilot người học</x:t>
  </x:si>
  <x:si>
    <x:t xml:space="preserve">07_Reset_Verification — Fixture reset và cleanup demo</x:t>
  </x:si>
  <x:si>
    <x:t xml:space="preserve">11/10/2026: test hành vi (behavior.test.mjs) chạy 12/12 cho mọi lab — buggy vi phạm quy tắc, clean thì không; tổng 15/15 cùng test file reset. Evidence: reports/2026-10-11-fixture-behavior.txt. LAB-09 còn có vòng SQLite buggy → clean → buggy. Cleanup dữ liệu demo thật vẫn do người học tự lưu evidence.</x:t>
  </x:si>
  <x:si>
    <x:t xml:space="preserve">Lệnh reset</x:t>
  </x:si>
  <x:si>
    <x:t xml:space="preserve">Buggy fixture</x:t>
  </x:si>
  <x:si>
    <x:t xml:space="preserve">Clean fixture</x:t>
  </x:si>
  <x:si>
    <x:t xml:space="preserve">Lặp lại?</x:t>
  </x:si>
  <x:si>
    <x:t xml:space="preserve">Evidence / giới hạn</x:t>
  </x:si>
  <x:si>
    <x:t xml:space="preserve">Reset controlled fixture</x:t>
  </x:si>
  <x:si>
    <x:t xml:space="preserve">node fixtures/reset.mjs --mode clean --lab LAB-01</x:t>
  </x:si>
  <x:si>
    <x:t xml:space="preserve">Có</x:t>
  </x:si>
  <x:si>
    <x:t xml:space="preserve">reports/2026-10-11-fixture-behavior.txt (hành vi fixture). Cleanup demo thật chưa thuộc check này.</x:t>
  </x:si>
  <x:si>
    <x:t xml:space="preserve">node fixtures/reset.mjs --mode clean --lab LAB-02</x:t>
  </x:si>
  <x:si>
    <x:t xml:space="preserve">node fixtures/reset.mjs --mode clean --lab LAB-03</x:t>
  </x:si>
  <x:si>
    <x:t xml:space="preserve">node fixtures/reset.mjs --mode clean --lab LAB-04</x:t>
  </x:si>
  <x:si>
    <x:t xml:space="preserve">node fixtures/reset.mjs --mode clean --lab LAB-05</x:t>
  </x:si>
  <x:si>
    <x:t xml:space="preserve">node fixtures/reset.mjs --mode clean --lab LAB-06</x:t>
  </x:si>
  <x:si>
    <x:t xml:space="preserve">node fixtures/reset.mjs --mode clean --lab LAB-07</x:t>
  </x:si>
  <x:si>
    <x:t xml:space="preserve">node fixtures/reset.mjs --mode clean --lab LAB-08</x:t>
  </x:si>
  <x:si>
    <x:t xml:space="preserve">node fixtures/reset.mjs --mode clean --lab LAB-09</x:t>
  </x:si>
  <x:si>
    <x:t xml:space="preserve">reports/2026-10-11-LAB09-sql-reset-verification.json + fixture-behavior.txt</x:t>
  </x:si>
  <x:si>
    <x:t xml:space="preserve">node fixtures/reset.mjs --mode clean --lab LAB-10</x:t>
  </x:si>
  <x:si>
    <x:t xml:space="preserve">node fixtures/reset.mjs --mode clean --lab LAB-11</x:t>
  </x:si>
  <x:si>
    <x:t xml:space="preserve">node fixtures/reset.mjs --mode clean --lab LAB-12</x:t>
  </x:si>
  <x:si>
    <x:t xml:space="preserve">10_Recheck_11_10 — Kiểm lại trực tiếp trên demo (Chrome, 11/10/2026)</x:t>
  </x:si>
  <x:si>
    <x:t xml:space="preserve">Chỉ GET hoặc request sai có chủ đích; không tạo tài khoản, không lưu nội dung bản ghi. Chi tiết: reports/2026-10-11-live-recheck.md</x:t>
  </x:si>
  <x:si>
    <x:t xml:space="preserve">Demo</x:t>
  </x:si>
  <x:si>
    <x:t xml:space="preserve">Evidence ngắn</x:t>
  </x:si>
  <x:si>
    <x:t xml:space="preserve">movie0706</x:t>
  </x:si>
  <x:si>
    <x:t xml:space="preserve">TÁI HIỆN</x:t>
  </x:si>
  <x:si>
    <x:t xml:space="preserve">11665 danhGia = -8 (1/33)</x:t>
  </x:si>
  <x:si>
    <x:t xml:space="preserve">4 nhóm tên trùng</x:t>
  </x:si>
  <x:si>
    <x:t xml:space="preserve">LAB-02/07</x:t>
  </x:si>
  <x:si>
    <x:t xml:space="preserve">MaPhim=999999 → 500</x:t>
  </x:si>
  <x:si>
    <x:t xml:space="preserve">2 thiếu moTa, 6 thiếu trailer</x:t>
  </x:si>
  <x:si>
    <x:t xml:space="preserve">DOM XÁC NHẬN</x:t>
  </x:si>
  <x:si>
    <x:t xml:space="preserve">7/7 input không required</x:t>
  </x:si>
  <x:si>
    <x:t xml:space="preserve">MỚI</x:t>
  </x:si>
  <x:si>
    <x:t xml:space="preserve">Đăng nhập sai → 500 (kỳ vọng 401)</x:t>
  </x:si>
  <x:si>
    <x:t xml:space="preserve">MỚI — ỨNG VIÊN</x:t>
  </x:si>
  <x:si>
    <x:t xml:space="preserve">GET không token 200: Patient, User, Invoices, Appointment</x:t>
  </x:si>
  <x:si>
    <x:t xml:space="preserve">Title bắt đầu bằng dấu backtick</x:t>
  </x:si>
  <x:si>
    <x:t xml:space="preserve">Ảnh lỗi 1, thiếu alt 6/91</x:t>
  </x:si>
  <x:si>
    <x:t xml:space="preserve">—</x:t>
  </x:si>
  <x:si>
    <x:t xml:space="preserve">LAB-05/06</x:t>
  </x:si>
  <x:si>
    <x:t xml:space="preserve">demo3, demo4</x:t>
  </x:si>
  <x:si>
    <x:t xml:space="preserve">CHỈ ĐỌC SWAGGER</x:t>
  </x:si>
  <x:si>
    <x:t xml:space="preserve">35 và 34 đường dẫn; cần TokenCybersoft nên chưa gọi API</x:t>
  </x:si>
  <x:si>
    <x:t xml:space="preserve">Local web</x:t>
  </x:si>
  <x:si>
    <x:t xml:space="preserve">learning-hub</x:t>
  </x:si>
  <x:si>
    <x:t xml:space="preserve">XEM GHI CHÚ</x:t>
  </x:si>
  <x:si>
    <x:t xml:space="preserve">Web trả 10/12 lab lúc kiểm (thiếu LAB-10, LAB-11); đã thêm cả hai, web hiện 12 lab. Chưa có bài nộp trong DB.</x:t>
  </x:si>
  <x:si>
    <x:t xml:space="preserve">LAB-01..12</x:t>
  </x:si>
  <x:si>
    <x:t xml:space="preserve">6 demo</x:t>
  </x:si>
  <x:si>
    <x:t xml:space="preserve">Xem sheet 06</x:t>
  </x:si>
  <x:si>
    <x:t xml:space="preserve">Kết quả từng lab: reports/2026-10-11-lab-runs.md</x:t>
  </x:si>
  <x:si>
    <x:t xml:space="preserve">Đăng nhập sai → 500</x:t>
  </x:si>
  <x:si>
    <x:t xml:space="preserve">keyword dấu nháy → lộ lỗi SQL Server</x:t>
  </x:si>
  <x:si>
    <x:t xml:space="preserve">pageIndex âm/0 → 500</x:t>
  </x:si>
  <x:si>
    <x:t xml:space="preserve">getAllProject mở không Bearer</x:t>
  </x:si>
  <x:si>
    <x:t xml:space="preserve">Suất chiếu đã qua vẫn mở được</x:t>
  </x:si>
  <x:si>
    <x:t xml:space="preserve">/detail/&lt;mã lạ&gt; trang trống</x:t>
  </x:si>
  <x:si>
    <x:t xml:space="preserve">Khóa aeee222 sai danh mục hoa/thường</x:t>
  </x:si>
</x:sst>
</file>

<file path=xl/styles.xml><?xml version="1.0" encoding="utf-8"?>
<x:styleSheet xmlns:x="http://schemas.openxmlformats.org/spreadsheetml/2006/main">
  <x:fonts count="20">
    <x:font>
      <x:sz val="10"/>
      <x:name val="Arial"/>
    </x:font>
    <x:font>
      <x:b/>
      <x:sz val="15"/>
      <x:color rgb="FFFFFFFF"/>
      <x:name val="Calibri"/>
    </x:font>
    <x:font>
      <x:i/>
      <x:sz val="11"/>
      <x:color rgb="FF666666"/>
      <x:name val="Calibri"/>
    </x:font>
    <x:font>
      <x:sz val="11"/>
      <x:name val="Calibri"/>
    </x:font>
    <x:font>
      <x:b/>
      <x:sz val="12"/>
      <x:color rgb="FF17365D"/>
      <x:name val="Calibri"/>
    </x:font>
    <x:font>
      <x:b/>
      <x:sz val="11"/>
      <x:color rgb="FFFFFFFF"/>
      <x:name val="Calibri"/>
    </x:font>
    <x:font>
      <x:b/>
      <x:sz val="11"/>
      <x:color rgb="FF17365D"/>
      <x:name val="Calibri"/>
    </x:font>
    <x:font>
      <x:sz val="11"/>
      <x:color rgb="FF1F1F1F"/>
      <x:name val="Calibri"/>
    </x:font>
    <x:font>
      <x:sz val="10"/>
      <x:name val="Arial"/>
    </x:font>
    <x:font>
      <x:b/>
      <x:sz val="15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0"/>
      <x:color rgb="FF1F1F1F"/>
      <x:name val="Calibri"/>
    </x:font>
    <x:font>
      <x:i/>
      <x:sz val="10"/>
      <x:color rgb="FF1F1F1F"/>
      <x:name val="Calibri"/>
    </x:font>
    <x:font>
      <x:sz val="10"/>
      <x:color rgb="FF1F1F1F"/>
      <x:name val="Calibri"/>
    </x:font>
    <x:font>
      <x:i/>
      <x:sz val="10"/>
      <x:color rgb="FF404040"/>
      <x:name val="Calibri"/>
    </x:font>
    <x:font>
      <x:b/>
      <x:sz val="10"/>
      <x:color rgb="FFFFFFFF"/>
      <x:name val="Calibri"/>
    </x:font>
    <x:font>
      <x:b/>
      <x:sz val="11"/>
      <x:color rgb="FF1F4E78"/>
      <x:name val="Calibri"/>
    </x:font>
    <x:font>
      <x:b/>
      <x:sz val="10"/>
      <x:color rgb="FF1F4E78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84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</x:border>
    <x:border>
      <x:left style="thin">
        <x:color rgb="FFD9D9D9"/>
      </x:left>
      <x:bottom style="thin">
        <x:color rgb="FFD9D9D9"/>
      </x:bottom>
    </x:border>
    <x:border/>
    <x:border>
      <x:right style="thin">
        <x:color rgb="FFD9D9D9"/>
      </x:right>
      <x:bottom style="thin">
        <x:color rgb="FFD9D9D9"/>
      </x:bottom>
    </x:border>
    <x:border>
      <x:right style="thin">
        <x:color rgb="FFD9D9D9"/>
      </x:right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</x:border>
    <x:border>
      <x:left style="thin">
        <x:color rgb="FFD9D9D9"/>
      </x:left>
      <x:bottom style="thin">
        <x:color rgb="FFD9D9D9"/>
      </x:bottom>
    </x:border>
    <x:border>
      <x:left style="thin">
        <x:color rgb="FFFFFFFF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FFFFFF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FFFFFF"/>
      </x:right>
      <x:top style="thin">
        <x:color rgb="FF1F4E78"/>
      </x:top>
      <x:bottom style="thin">
        <x:color rgb="FF1F4E78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left style="thin">
        <x:color rgb="FFD9D9D9"/>
      </x:left>
      <x:right style="thin">
        <x:color rgb="FFD9D9D9"/>
      </x:righ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left style="thin">
        <x:color rgb="FFD9D9D9"/>
      </x:left>
      <x:right style="thin">
        <x:color rgb="FFD9D9D9"/>
      </x:righ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D9D9"/>
      </x:left>
      <x:right style="thin">
        <x:color rgb="FFD9E2F3"/>
      </x:right>
      <x:top style="thin">
        <x:color rgb="FFD9E2F3"/>
      </x:top>
    </x:border>
    <x:border>
      <x:left style="thin">
        <x:color rgb="FFD9D9D9"/>
      </x:left>
      <x:right style="thin">
        <x:color rgb="FFD9E2F3"/>
      </x:right>
    </x:border>
    <x:border>
      <x:left style="thin">
        <x:color rgb="FFD9D9D9"/>
      </x:left>
      <x:right style="thin">
        <x:color rgb="FFD9E2F3"/>
      </x:right>
      <x:bottom style="thin">
        <x:color rgb="FFD9E2F3"/>
      </x:bottom>
    </x:border>
    <x:border>
      <x:left style="thin">
        <x:color rgb="FFD9D9D9"/>
      </x:left>
      <x:right style="thin">
        <x:color rgb="FFD9E2F3"/>
      </x:right>
      <x:top style="thin">
        <x:color rgb="FFD9E2F3"/>
      </x:top>
    </x:border>
    <x:border>
      <x:left style="thin">
        <x:color rgb="FFD9D9D9"/>
      </x:left>
      <x:right style="thin">
        <x:color rgb="FFD9E2F3"/>
      </x:right>
    </x:border>
    <x:border>
      <x:left style="thin">
        <x:color rgb="FFD9D9D9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D9D9"/>
      </x:bottom>
    </x:border>
    <x:border>
      <x:right style="thin">
        <x:color rgb="FFD9E2F3"/>
      </x:right>
      <x:bottom style="thin">
        <x:color rgb="FFD9D9D9"/>
      </x:bottom>
    </x:border>
    <x:border>
      <x:left style="thin">
        <x:color rgb="FFD9E2F3"/>
      </x:left>
      <x:top style="thin">
        <x:color rgb="FFD9D9D9"/>
      </x:top>
      <x:bottom style="thin">
        <x:color rgb="FFD9D9D9"/>
      </x:bottom>
    </x:border>
    <x:border>
      <x:left style="thin">
        <x:color rgb="FFD9E2F3"/>
      </x:left>
      <x:top style="thin">
        <x:color rgb="FFD9D9D9"/>
      </x:top>
    </x:border>
    <x:border>
      <x:right style="thin">
        <x:color rgb="FFD9D9D9"/>
      </x:right>
      <x:bottom style="thin">
        <x:color rgb="FFD9E2F3"/>
      </x:bottom>
    </x:border>
    <x:border>
      <x:left style="thin">
        <x:color rgb="FFD9E2F3"/>
      </x:left>
      <x:bottom style="thin">
        <x:color rgb="FFD9D9D9"/>
      </x:bottom>
    </x:border>
    <x:border>
      <x:right style="thin">
        <x:color rgb="FFD9E2F3"/>
      </x:right>
      <x:bottom style="thin">
        <x:color rgb="FFD9D9D9"/>
      </x:bottom>
    </x:border>
    <x:border>
      <x:left style="thin">
        <x:color rgb="FFD9E2F3"/>
      </x:left>
      <x:top style="thin">
        <x:color rgb="FFD9D9D9"/>
      </x:top>
      <x:bottom style="thin">
        <x:color rgb="FFD9D9D9"/>
      </x:bottom>
    </x:border>
    <x:border>
      <x:left style="thin">
        <x:color rgb="FFD9E2F3"/>
      </x:left>
      <x:top style="thin">
        <x:color rgb="FFD9D9D9"/>
      </x:top>
    </x:border>
    <x:border>
      <x:right style="thin">
        <x:color rgb="FFD9D9D9"/>
      </x:right>
      <x:bottom style="thin">
        <x:color rgb="FFD9E2F3"/>
      </x:bottom>
    </x:border>
    <x:border>
      <x:left style="thin">
        <x:color rgb="FFD9D9D9"/>
      </x:left>
      <x:top style="thin">
        <x:color rgb="FFD9E2F3"/>
      </x:top>
    </x:border>
    <x:border>
      <x:left style="thin">
        <x:color rgb="FFD9D9D9"/>
      </x:left>
      <x:bottom style="thin">
        <x:color rgb="FFD9E2F3"/>
      </x:bottom>
    </x:border>
    <x:border>
      <x:left style="thin">
        <x:color rgb="FFD9D9D9"/>
      </x:left>
      <x:top style="thin">
        <x:color rgb="FFD9E2F3"/>
      </x:top>
    </x:border>
    <x:border>
      <x:left style="thin">
        <x:color rgb="FFD9D9D9"/>
      </x:left>
      <x:bottom style="thin">
        <x:color rgb="FFD9E2F3"/>
      </x:bottom>
    </x:border>
    <x:border>
      <x:left style="thin">
        <x:color rgb="FFD9E2F3"/>
      </x:left>
      <x:right style="thin">
        <x:color rgb="FFD9D9D9"/>
      </x:right>
      <x:top style="thin">
        <x:color rgb="FFD9E2F3"/>
      </x:top>
    </x:border>
    <x:border>
      <x:left style="thin">
        <x:color rgb="FFD9E2F3"/>
      </x:left>
      <x:right style="thin">
        <x:color rgb="FFD9D9D9"/>
      </x:right>
    </x:border>
    <x:border>
      <x:left style="thin">
        <x:color rgb="FFD9E2F3"/>
      </x:left>
      <x:right style="thin">
        <x:color rgb="FFD9D9D9"/>
      </x:right>
      <x:bottom style="thin">
        <x:color rgb="FFD9E2F3"/>
      </x:bottom>
    </x:border>
    <x:border>
      <x:left style="thin">
        <x:color rgb="FFD9E2F3"/>
      </x:left>
      <x:right style="thin">
        <x:color rgb="FFD9D9D9"/>
      </x:right>
      <x:top style="thin">
        <x:color rgb="FFD9E2F3"/>
      </x:top>
    </x:border>
    <x:border>
      <x:left style="thin">
        <x:color rgb="FFD9E2F3"/>
      </x:left>
      <x:right style="thin">
        <x:color rgb="FFD9D9D9"/>
      </x:right>
    </x:border>
    <x:border>
      <x:left style="thin">
        <x:color rgb="FFD9E2F3"/>
      </x:left>
      <x:right style="thin">
        <x:color rgb="FFD9D9D9"/>
      </x:right>
      <x:bottom style="thin">
        <x:color rgb="FFD9E2F3"/>
      </x:bottom>
    </x:border>
    <x:border>
      <x:left style="thin">
        <x:color rgb="FFD9E2F3"/>
      </x:left>
      <x:right style="thin">
        <x:color rgb="FFD9D9D9"/>
      </x:right>
      <x:bottom style="thin">
        <x:color rgb="FFD9D9D9"/>
      </x:bottom>
    </x:border>
    <x:border>
      <x:left style="thin">
        <x:color rgb="FFD9E2F3"/>
      </x:left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0" fillId="0" borderId="0" xfId="0" applyFont="1" applyAlignment="1">
      <x:alignment vertical="center" wrapText="1"/>
    </x:xf>
    <x:xf numFmtId="0" fontId="9" fillId="0" borderId="0" xfId="0" applyFont="1" applyAlignment="1">
      <x:alignment horizontal="left" vertical="center" wrapText="1"/>
    </x:xf>
    <x:xf numFmtId="0" fontId="7" fillId="0" borderId="11" xfId="0" applyFont="1" applyBorder="1" applyAlignment="1">
      <x:alignment vertical="center" wrapText="1"/>
    </x:xf>
    <x:xf numFmtId="0" fontId="7" fillId="0" borderId="8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0" fontId="4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vertical="center" wrapText="1"/>
    </x:xf>
    <x:xf numFmtId="0" fontId="7" fillId="0" borderId="5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0" fontId="6" fillId="0" borderId="7" xfId="0" applyFont="1" applyBorder="1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7" fillId="0" borderId="8" xfId="0" applyFont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7" fillId="0" borderId="10" xfId="0" applyFont="1" applyBorder="1" applyAlignment="1">
      <x:alignment vertical="center" wrapText="1"/>
    </x:xf>
    <x:xf numFmtId="0" fontId="7" fillId="0" borderId="11" xfId="0" applyFont="1" applyBorder="1" applyAlignment="1">
      <x:alignment vertical="center" wrapText="1"/>
    </x:xf>
    <x:xf numFmtId="0" fontId="7" fillId="0" borderId="12" xfId="0" applyFont="1" applyBorder="1" applyAlignment="1">
      <x:alignment vertical="center" wrapText="1"/>
    </x:xf>
    <x:xf numFmtId="0" fontId="7" fillId="0" borderId="4" xfId="0" applyFont="1" applyBorder="1" applyAlignment="1">
      <x:alignment vertical="center" wrapText="1"/>
    </x:xf>
    <x:xf numFmtId="0" fontId="7" fillId="0" borderId="13" xfId="0" applyFont="1" applyBorder="1" applyAlignment="1">
      <x:alignment vertical="center" wrapText="1"/>
    </x:xf>
    <x:xf numFmtId="0" fontId="7" fillId="0" borderId="7" xfId="0" applyFont="1" applyBorder="1" applyAlignment="1">
      <x:alignment vertical="center" wrapText="1"/>
    </x:xf>
    <x:xf numFmtId="0" fontId="7" fillId="0" borderId="14" xfId="0" applyFont="1" applyBorder="1" applyAlignment="1">
      <x:alignment vertical="center" wrapText="1"/>
    </x:xf>
    <x:xf numFmtId="0" fontId="7" fillId="0" borderId="9" xfId="0" applyFont="1" applyBorder="1" applyAlignment="1">
      <x:alignment vertical="center" wrapText="1"/>
    </x:xf>
    <x:xf numFmtId="0" fontId="4" fillId="0" borderId="13" xfId="0" applyFont="1" applyBorder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4" fillId="0" borderId="7" xfId="0" applyFont="1" applyBorder="1" applyAlignment="1">
      <x:alignment vertical="center" wrapText="1"/>
    </x:xf>
    <x:xf numFmtId="0" fontId="4" fillId="0" borderId="8" xfId="0" applyFont="1" applyBorder="1" applyAlignment="1">
      <x:alignment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8" fillId="0" borderId="0" xfId="0" applyFont="1" applyAlignment="1">
      <x:alignment vertical="top" wrapText="1"/>
    </x:xf>
    <x:xf numFmtId="0" fontId="7" fillId="0" borderId="5" xfId="0" applyFont="1" applyBorder="1" applyAlignment="1">
      <x:alignment vertical="top" wrapText="1"/>
    </x:xf>
    <x:xf numFmtId="0" fontId="7" fillId="0" borderId="6" xfId="0" applyFont="1" applyBorder="1" applyAlignment="1">
      <x:alignment vertical="top" wrapText="1"/>
    </x:xf>
    <x:xf numFmtId="0" fontId="7" fillId="0" borderId="0" xfId="0" applyFont="1" applyAlignment="1">
      <x:alignment vertical="top" wrapText="1"/>
    </x:xf>
    <x:xf numFmtId="0" fontId="7" fillId="0" borderId="8" xfId="0" applyFont="1" applyBorder="1" applyAlignment="1">
      <x:alignment vertical="top" wrapText="1"/>
    </x:xf>
    <x:xf numFmtId="0" fontId="7" fillId="0" borderId="10" xfId="0" applyFont="1" applyBorder="1" applyAlignment="1">
      <x:alignment vertical="top" wrapText="1"/>
    </x:xf>
    <x:xf numFmtId="0" fontId="7" fillId="0" borderId="11" xfId="0" applyFont="1" applyBorder="1" applyAlignment="1">
      <x:alignment vertical="top" wrapText="1"/>
    </x:xf>
    <x:xf numFmtId="0" fontId="8" fillId="0" borderId="0" xfId="0" applyFont="1" applyAlignment="1">
      <x:alignment vertical="center" wrapText="1"/>
    </x:xf>
    <x:xf numFmtId="0" fontId="11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 vertical="center" wrapText="1"/>
    </x:xf>
    <x:xf numFmtId="0" fontId="0" fillId="0" borderId="15" xfId="0" applyNumberFormat="1" applyFont="1" applyFill="1" applyBorder="1"/>
    <x:xf numFmtId="0" fontId="10" fillId="0" borderId="15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horizontal="left"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horizontal="left" vertical="center" wrapText="1"/>
    </x:xf>
    <x:xf numFmtId="0" fontId="2" fillId="0" borderId="15" xfId="0" applyNumberFormat="1" applyFont="1" applyFill="1" applyBorder="1" applyAlignment="1">
      <x:alignment horizontal="left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6" fillId="0" borderId="22" xfId="0" applyNumberFormat="1" applyFont="1" applyFill="1" applyBorder="1" applyAlignment="1">
      <x:alignment vertical="center" wrapText="1"/>
    </x:xf>
    <x:xf numFmtId="0" fontId="7" fillId="0" borderId="23" xfId="0" applyNumberFormat="1" applyFont="1" applyFill="1" applyBorder="1" applyAlignment="1">
      <x:alignment vertical="center" wrapText="1"/>
    </x:xf>
    <x:xf numFmtId="0" fontId="6" fillId="0" borderId="24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6" fillId="0" borderId="25" xfId="0" applyNumberFormat="1" applyFont="1" applyFill="1" applyBorder="1" applyAlignment="1">
      <x:alignment vertical="center" wrapText="1"/>
    </x:xf>
    <x:xf numFmtId="0" fontId="7" fillId="0" borderId="26" xfId="0" applyNumberFormat="1" applyFont="1" applyFill="1" applyBorder="1" applyAlignment="1">
      <x:alignment vertical="center" wrapText="1"/>
    </x:xf>
    <x:xf numFmtId="0" fontId="7" fillId="0" borderId="27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 wrapText="1"/>
    </x:xf>
    <x:xf numFmtId="0" fontId="7" fillId="0" borderId="28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9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24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5" fillId="0" borderId="24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center" wrapText="1"/>
    </x:xf>
    <x:xf numFmtId="0" fontId="11" fillId="0" borderId="15" xfId="0" applyNumberFormat="1" applyFont="1" applyFill="1" applyBorder="1" applyAlignment="1">
      <x:alignment horizontal="center" vertical="center" wrapText="1"/>
    </x:xf>
    <x:xf numFmtId="0" fontId="12" fillId="0" borderId="15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3" fillId="0" borderId="1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horizontal="center" vertical="center" wrapText="1"/>
    </x:xf>
    <x:xf numFmtId="0" fontId="13" fillId="0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vertical="center" wrapText="1"/>
    </x:xf>
    <x:xf numFmtId="0" fontId="15" fillId="0" borderId="6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8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center" wrapText="1"/>
    </x:xf>
    <x:xf numFmtId="0" fontId="15" fillId="0" borderId="11" xfId="0" applyNumberFormat="1" applyFont="1" applyFill="1" applyBorder="1" applyAlignment="1">
      <x:alignment vertical="center" wrapText="1"/>
    </x:xf>
    <x:xf numFmtId="0" fontId="15" fillId="0" borderId="12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0" fontId="15" fillId="0" borderId="13" xfId="0" applyNumberFormat="1" applyFont="1" applyFill="1" applyBorder="1" applyAlignment="1">
      <x:alignment vertical="center" wrapText="1"/>
    </x:xf>
    <x:xf numFmtId="0" fontId="15" fillId="0" borderId="7" xfId="0" applyNumberFormat="1" applyFont="1" applyFill="1" applyBorder="1" applyAlignment="1">
      <x:alignment vertical="center" wrapText="1"/>
    </x:xf>
    <x:xf numFmtId="0" fontId="15" fillId="0" borderId="14" xfId="0" applyNumberFormat="1" applyFont="1" applyFill="1" applyBorder="1" applyAlignment="1">
      <x:alignment vertical="center" wrapText="1"/>
    </x:xf>
    <x:xf numFmtId="0" fontId="15" fillId="0" borderId="9" xfId="0" applyNumberFormat="1" applyFont="1" applyFill="1" applyBorder="1" applyAlignment="1">
      <x:alignment vertical="center" wrapText="1"/>
    </x:xf>
    <x:xf numFmtId="0" fontId="13" fillId="0" borderId="15" xfId="0" applyNumberFormat="1" applyFont="1" applyFill="1" applyBorder="1" applyAlignment="1">
      <x:alignment horizontal="center" vertical="center" wrapText="1"/>
    </x:xf>
    <x:xf numFmtId="0" fontId="14" fillId="0" borderId="15" xfId="0" applyNumberFormat="1" applyFont="1" applyFill="1" applyBorder="1" applyAlignment="1">
      <x:alignment horizontal="left" vertical="center" wrapText="1"/>
    </x:xf>
    <x:xf numFmtId="0" fontId="15" fillId="0" borderId="15" xfId="0" applyNumberFormat="1" applyFont="1" applyFill="1" applyBorder="1" applyAlignment="1">
      <x:alignment wrapText="1"/>
    </x:xf>
    <x:xf numFmtId="0" fontId="13" fillId="0" borderId="15" xfId="0" applyNumberFormat="1" applyFont="1" applyFill="1" applyBorder="1" applyAlignment="1">
      <x:alignment horizontal="left" vertical="center" wrapText="1"/>
    </x:xf>
    <x:xf numFmtId="0" fontId="13" fillId="0" borderId="19" xfId="0" applyNumberFormat="1" applyFont="1" applyFill="1" applyBorder="1" applyAlignment="1">
      <x:alignment horizontal="center" vertical="center" wrapText="1"/>
    </x:xf>
    <x:xf numFmtId="0" fontId="13" fillId="0" borderId="20" xfId="0" applyNumberFormat="1" applyFont="1" applyFill="1" applyBorder="1" applyAlignment="1">
      <x:alignment horizontal="center" vertical="center" wrapText="1"/>
    </x:xf>
    <x:xf numFmtId="0" fontId="13" fillId="0" borderId="21" xfId="0" applyNumberFormat="1" applyFont="1" applyFill="1" applyBorder="1" applyAlignment="1">
      <x:alignment horizontal="center" vertical="center" wrapText="1"/>
    </x:xf>
    <x:xf numFmtId="0" fontId="13" fillId="0" borderId="22" xfId="0" applyNumberFormat="1" applyFont="1" applyFill="1" applyBorder="1" applyAlignment="1">
      <x:alignment vertical="center" wrapText="1"/>
    </x:xf>
    <x:xf numFmtId="0" fontId="15" fillId="0" borderId="23" xfId="0" applyNumberFormat="1" applyFont="1" applyFill="1" applyBorder="1" applyAlignment="1">
      <x:alignment vertical="center" wrapText="1"/>
    </x:xf>
    <x:xf numFmtId="0" fontId="15" fillId="0" borderId="18" xfId="0" applyNumberFormat="1" applyFont="1" applyFill="1" applyBorder="1" applyAlignment="1">
      <x:alignment vertical="center" wrapText="1"/>
    </x:xf>
    <x:xf numFmtId="0" fontId="13" fillId="0" borderId="24" xfId="0" applyNumberFormat="1" applyFont="1" applyFill="1" applyBorder="1" applyAlignment="1">
      <x:alignment vertical="center" wrapText="1"/>
    </x:xf>
    <x:xf numFmtId="0" fontId="15" fillId="0" borderId="15" xfId="0" applyNumberFormat="1" applyFont="1" applyFill="1" applyBorder="1" applyAlignment="1">
      <x:alignment vertical="center" wrapText="1"/>
    </x:xf>
    <x:xf numFmtId="0" fontId="15" fillId="0" borderId="17" xfId="0" applyNumberFormat="1" applyFont="1" applyFill="1" applyBorder="1" applyAlignment="1">
      <x:alignment vertical="center" wrapText="1"/>
    </x:xf>
    <x:xf numFmtId="0" fontId="13" fillId="0" borderId="25" xfId="0" applyNumberFormat="1" applyFont="1" applyFill="1" applyBorder="1" applyAlignment="1">
      <x:alignment vertical="center" wrapText="1"/>
    </x:xf>
    <x:xf numFmtId="0" fontId="15" fillId="0" borderId="26" xfId="0" applyNumberFormat="1" applyFont="1" applyFill="1" applyBorder="1" applyAlignment="1">
      <x:alignment vertical="center" wrapText="1"/>
    </x:xf>
    <x:xf numFmtId="0" fontId="15" fillId="0" borderId="16" xfId="0" applyNumberFormat="1" applyFont="1" applyFill="1" applyBorder="1" applyAlignment="1">
      <x:alignment vertical="center" wrapText="1"/>
    </x:xf>
    <x:xf numFmtId="0" fontId="15" fillId="0" borderId="27" xfId="0" applyNumberFormat="1" applyFont="1" applyFill="1" applyBorder="1" applyAlignment="1">
      <x:alignment vertical="center" wrapText="1"/>
    </x:xf>
    <x:xf numFmtId="0" fontId="15" fillId="0" borderId="22" xfId="0" applyNumberFormat="1" applyFont="1" applyFill="1" applyBorder="1" applyAlignment="1">
      <x:alignment vertical="center" wrapText="1"/>
    </x:xf>
    <x:xf numFmtId="0" fontId="15" fillId="0" borderId="28" xfId="0" applyNumberFormat="1" applyFont="1" applyFill="1" applyBorder="1" applyAlignment="1">
      <x:alignment vertical="center" wrapText="1"/>
    </x:xf>
    <x:xf numFmtId="0" fontId="15" fillId="0" borderId="24" xfId="0" applyNumberFormat="1" applyFont="1" applyFill="1" applyBorder="1" applyAlignment="1">
      <x:alignment vertical="center" wrapText="1"/>
    </x:xf>
    <x:xf numFmtId="0" fontId="15" fillId="0" borderId="29" xfId="0" applyNumberFormat="1" applyFont="1" applyFill="1" applyBorder="1" applyAlignment="1">
      <x:alignment vertical="center" wrapText="1"/>
    </x:xf>
    <x:xf numFmtId="0" fontId="15" fillId="0" borderId="25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left" vertical="top" wrapText="1"/>
    </x:xf>
    <x:xf numFmtId="0" fontId="13" fillId="0" borderId="1" xfId="0" applyNumberFormat="1" applyFont="1" applyFill="1" applyBorder="1" applyAlignment="1">
      <x:alignment horizontal="center" vertical="top" wrapText="1"/>
    </x:xf>
    <x:xf numFmtId="0" fontId="13" fillId="0" borderId="2" xfId="0" applyNumberFormat="1" applyFont="1" applyFill="1" applyBorder="1" applyAlignment="1">
      <x:alignment horizontal="center" vertical="top" wrapText="1"/>
    </x:xf>
    <x:xf numFmtId="0" fontId="13" fillId="0" borderId="3" xfId="0" applyNumberFormat="1" applyFont="1" applyFill="1" applyBorder="1" applyAlignment="1">
      <x:alignment horizontal="center" vertical="top" wrapText="1"/>
    </x:xf>
    <x:xf numFmtId="0" fontId="13" fillId="0" borderId="4" xfId="0" applyNumberFormat="1" applyFont="1" applyFill="1" applyBorder="1" applyAlignment="1">
      <x:alignment vertical="top" wrapText="1"/>
    </x:xf>
    <x:xf numFmtId="0" fontId="15" fillId="0" borderId="5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2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13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3" fillId="0" borderId="15" xfId="0" applyNumberFormat="1" applyFont="1" applyFill="1" applyBorder="1" applyAlignment="1">
      <x:alignment horizontal="center" vertical="top" wrapText="1"/>
    </x:xf>
    <x:xf numFmtId="0" fontId="14" fillId="0" borderId="15" xfId="0" applyNumberFormat="1" applyFont="1" applyFill="1" applyBorder="1" applyAlignment="1">
      <x:alignment horizontal="left" vertical="top" wrapText="1"/>
    </x:xf>
    <x:xf numFmtId="0" fontId="15" fillId="0" borderId="15" xfId="0" applyNumberFormat="1" applyFont="1" applyFill="1" applyBorder="1" applyAlignment="1">
      <x:alignment vertical="top" wrapText="1"/>
    </x:xf>
    <x:xf numFmtId="0" fontId="13" fillId="0" borderId="15" xfId="0" applyNumberFormat="1" applyFont="1" applyFill="1" applyBorder="1" applyAlignment="1">
      <x:alignment horizontal="left" vertical="top" wrapText="1"/>
    </x:xf>
    <x:xf numFmtId="0" fontId="13" fillId="0" borderId="19" xfId="0" applyNumberFormat="1" applyFont="1" applyFill="1" applyBorder="1" applyAlignment="1">
      <x:alignment horizontal="center" vertical="top" wrapText="1"/>
    </x:xf>
    <x:xf numFmtId="0" fontId="13" fillId="0" borderId="20" xfId="0" applyNumberFormat="1" applyFont="1" applyFill="1" applyBorder="1" applyAlignment="1">
      <x:alignment horizontal="center" vertical="top" wrapText="1"/>
    </x:xf>
    <x:xf numFmtId="0" fontId="13" fillId="0" borderId="21" xfId="0" applyNumberFormat="1" applyFont="1" applyFill="1" applyBorder="1" applyAlignment="1">
      <x:alignment horizontal="center" vertical="top" wrapText="1"/>
    </x:xf>
    <x:xf numFmtId="0" fontId="13" fillId="0" borderId="22" xfId="0" applyNumberFormat="1" applyFont="1" applyFill="1" applyBorder="1" applyAlignment="1">
      <x:alignment vertical="top" wrapText="1"/>
    </x:xf>
    <x:xf numFmtId="0" fontId="15" fillId="0" borderId="23" xfId="0" applyNumberFormat="1" applyFont="1" applyFill="1" applyBorder="1" applyAlignment="1">
      <x:alignment vertical="top" wrapText="1"/>
    </x:xf>
    <x:xf numFmtId="0" fontId="15" fillId="0" borderId="18" xfId="0" applyNumberFormat="1" applyFont="1" applyFill="1" applyBorder="1" applyAlignment="1">
      <x:alignment vertical="top" wrapText="1"/>
    </x:xf>
    <x:xf numFmtId="0" fontId="13" fillId="0" borderId="24" xfId="0" applyNumberFormat="1" applyFont="1" applyFill="1" applyBorder="1" applyAlignment="1">
      <x:alignment vertical="top" wrapText="1"/>
    </x:xf>
    <x:xf numFmtId="0" fontId="15" fillId="0" borderId="17" xfId="0" applyNumberFormat="1" applyFont="1" applyFill="1" applyBorder="1" applyAlignment="1">
      <x:alignment vertical="top" wrapText="1"/>
    </x:xf>
    <x:xf numFmtId="0" fontId="13" fillId="0" borderId="25" xfId="0" applyNumberFormat="1" applyFont="1" applyFill="1" applyBorder="1" applyAlignment="1">
      <x:alignment vertical="top" wrapText="1"/>
    </x:xf>
    <x:xf numFmtId="0" fontId="15" fillId="0" borderId="26" xfId="0" applyNumberFormat="1" applyFont="1" applyFill="1" applyBorder="1" applyAlignment="1">
      <x:alignment vertical="top" wrapText="1"/>
    </x:xf>
    <x:xf numFmtId="0" fontId="15" fillId="0" borderId="16" xfId="0" applyNumberFormat="1" applyFont="1" applyFill="1" applyBorder="1" applyAlignment="1">
      <x:alignment vertical="top" wrapText="1"/>
    </x:xf>
    <x:xf numFmtId="0" fontId="15" fillId="0" borderId="27" xfId="0" applyNumberFormat="1" applyFont="1" applyFill="1" applyBorder="1" applyAlignment="1">
      <x:alignment vertical="top" wrapText="1"/>
    </x:xf>
    <x:xf numFmtId="0" fontId="15" fillId="0" borderId="22" xfId="0" applyNumberFormat="1" applyFont="1" applyFill="1" applyBorder="1" applyAlignment="1">
      <x:alignment vertical="top" wrapText="1"/>
    </x:xf>
    <x:xf numFmtId="0" fontId="15" fillId="0" borderId="28" xfId="0" applyNumberFormat="1" applyFont="1" applyFill="1" applyBorder="1" applyAlignment="1">
      <x:alignment vertical="top" wrapText="1"/>
    </x:xf>
    <x:xf numFmtId="0" fontId="15" fillId="0" borderId="24" xfId="0" applyNumberFormat="1" applyFont="1" applyFill="1" applyBorder="1" applyAlignment="1">
      <x:alignment vertical="top" wrapText="1"/>
    </x:xf>
    <x:xf numFmtId="0" fontId="15" fillId="0" borderId="29" xfId="0" applyNumberFormat="1" applyFont="1" applyFill="1" applyBorder="1" applyAlignment="1">
      <x:alignment vertical="top" wrapText="1"/>
    </x:xf>
    <x:xf numFmtId="0" fontId="15" fillId="0" borderId="25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top" wrapText="1"/>
    </x:xf>
    <x:xf numFmtId="0" fontId="13" fillId="2" borderId="15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5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5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5" xfId="0" applyNumberFormat="1" applyFont="1" applyFill="1" applyBorder="1" applyAlignment="1">
      <x:alignment horizontal="left" vertical="center" wrapText="1"/>
    </x:xf>
    <x:xf numFmtId="0" fontId="14" fillId="3" borderId="0" xfId="0" applyNumberFormat="1" applyFont="1" applyFill="1" applyBorder="1" applyAlignment="1">
      <x:alignment horizontal="left" vertical="top" wrapText="1"/>
    </x:xf>
    <x:xf numFmtId="0" fontId="14" fillId="3" borderId="15" xfId="0" applyNumberFormat="1" applyFont="1" applyFill="1" applyBorder="1" applyAlignment="1">
      <x:alignment horizontal="left" vertical="top" wrapText="1"/>
    </x:xf>
    <x:xf numFmtId="0" fontId="16" fillId="3" borderId="0" xfId="0" applyNumberFormat="1" applyFont="1" applyFill="1" applyBorder="1" applyAlignment="1">
      <x:alignment horizontal="left" vertical="top" wrapText="1"/>
    </x:xf>
    <x:xf numFmtId="0" fontId="16" fillId="3" borderId="15" xfId="0" applyNumberFormat="1" applyFont="1" applyFill="1" applyBorder="1" applyAlignment="1">
      <x:alignment horizontal="left" vertical="top" wrapText="1"/>
    </x:xf>
    <x:xf numFmtId="0" fontId="16" fillId="3" borderId="0" xfId="0" applyNumberFormat="1" applyFont="1" applyFill="1" applyBorder="1" applyAlignment="1">
      <x:alignment horizontal="left" vertical="center" wrapText="1"/>
    </x:xf>
    <x:xf numFmtId="0" fontId="16" fillId="3" borderId="15" xfId="0" applyNumberFormat="1" applyFont="1" applyFill="1" applyBorder="1" applyAlignment="1">
      <x:alignment horizontal="left" vertical="center" wrapText="1"/>
    </x:xf>
    <x:xf numFmtId="0" fontId="13" fillId="0" borderId="13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 wrapText="1"/>
    </x:xf>
    <x:xf numFmtId="0" fontId="13" fillId="0" borderId="13" xfId="0" applyNumberFormat="1" applyFont="1" applyFill="1" applyBorder="1" applyAlignment="1">
      <x:alignment horizontal="center" vertical="center" wrapText="1"/>
    </x:xf>
    <x:xf numFmtId="0" fontId="13" fillId="0" borderId="7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3" fillId="0" borderId="28" xfId="0" applyNumberFormat="1" applyFont="1" applyFill="1" applyBorder="1" applyAlignment="1">
      <x:alignment vertical="center" wrapText="1"/>
    </x:xf>
    <x:xf numFmtId="0" fontId="13" fillId="0" borderId="15" xfId="0" applyNumberFormat="1" applyFont="1" applyFill="1" applyBorder="1" applyAlignment="1">
      <x:alignment vertical="center" wrapText="1"/>
    </x:xf>
    <x:xf numFmtId="0" fontId="13" fillId="0" borderId="17" xfId="0" applyNumberFormat="1" applyFont="1" applyFill="1" applyBorder="1" applyAlignment="1">
      <x:alignment vertical="center" wrapText="1"/>
    </x:xf>
    <x:xf numFmtId="0" fontId="13" fillId="0" borderId="28" xfId="0" applyNumberFormat="1" applyFont="1" applyFill="1" applyBorder="1" applyAlignment="1">
      <x:alignment horizontal="center" vertical="center" wrapText="1"/>
    </x:xf>
    <x:xf numFmtId="0" fontId="13" fillId="0" borderId="24" xfId="0" applyNumberFormat="1" applyFont="1" applyFill="1" applyBorder="1" applyAlignment="1">
      <x:alignment horizontal="center" vertical="center" wrapText="1"/>
    </x:xf>
    <x:xf numFmtId="0" fontId="13" fillId="0" borderId="17" xfId="0" applyNumberFormat="1" applyFont="1" applyFill="1" applyBorder="1" applyAlignment="1">
      <x:alignment horizontal="center" vertical="center" wrapText="1"/>
    </x:xf>
    <x:xf numFmtId="0" fontId="15" fillId="0" borderId="15" xfId="0" applyNumberFormat="1" applyFont="1" applyFill="1" applyBorder="1"/>
    <x:xf numFmtId="0" fontId="13" fillId="0" borderId="13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horizontal="center" vertical="top" wrapText="1"/>
    </x:xf>
    <x:xf numFmtId="0" fontId="13" fillId="0" borderId="7" xfId="0" applyNumberFormat="1" applyFont="1" applyFill="1" applyBorder="1" applyAlignment="1">
      <x:alignment horizontal="center" vertical="top" wrapText="1"/>
    </x:xf>
    <x:xf numFmtId="0" fontId="13" fillId="0" borderId="8" xfId="0" applyNumberFormat="1" applyFont="1" applyFill="1" applyBorder="1" applyAlignment="1">
      <x:alignment horizontal="center" vertical="top" wrapText="1"/>
    </x:xf>
    <x:xf numFmtId="0" fontId="15" fillId="0" borderId="0" xfId="0" applyNumberFormat="1" applyFont="1" applyFill="1" applyBorder="1" applyAlignment="1">
      <x:alignment vertical="top"/>
    </x:xf>
    <x:xf numFmtId="0" fontId="13" fillId="0" borderId="28" xfId="0" applyNumberFormat="1" applyFont="1" applyFill="1" applyBorder="1" applyAlignment="1">
      <x:alignment vertical="top" wrapText="1"/>
    </x:xf>
    <x:xf numFmtId="0" fontId="13" fillId="0" borderId="15" xfId="0" applyNumberFormat="1" applyFont="1" applyFill="1" applyBorder="1" applyAlignment="1">
      <x:alignment vertical="top" wrapText="1"/>
    </x:xf>
    <x:xf numFmtId="0" fontId="13" fillId="0" borderId="17" xfId="0" applyNumberFormat="1" applyFont="1" applyFill="1" applyBorder="1" applyAlignment="1">
      <x:alignment vertical="top" wrapText="1"/>
    </x:xf>
    <x:xf numFmtId="0" fontId="13" fillId="0" borderId="28" xfId="0" applyNumberFormat="1" applyFont="1" applyFill="1" applyBorder="1" applyAlignment="1">
      <x:alignment horizontal="center" vertical="top" wrapText="1"/>
    </x:xf>
    <x:xf numFmtId="0" fontId="13" fillId="0" borderId="24" xfId="0" applyNumberFormat="1" applyFont="1" applyFill="1" applyBorder="1" applyAlignment="1">
      <x:alignment horizontal="center" vertical="top" wrapText="1"/>
    </x:xf>
    <x:xf numFmtId="0" fontId="13" fillId="0" borderId="17" xfId="0" applyNumberFormat="1" applyFont="1" applyFill="1" applyBorder="1" applyAlignment="1">
      <x:alignment horizontal="center" vertical="top" wrapText="1"/>
    </x:xf>
    <x:xf numFmtId="0" fontId="15" fillId="0" borderId="15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5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left" vertical="top" wrapText="1"/>
    </x:xf>
    <x:xf numFmtId="0" fontId="13" fillId="2" borderId="15" xfId="0" applyNumberFormat="1" applyFont="1" applyFill="1" applyBorder="1" applyAlignment="1">
      <x:alignment horizontal="left" vertical="top"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15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3" borderId="15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3" borderId="15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vertical="top" wrapText="1"/>
    </x:xf>
    <x:xf numFmtId="0" fontId="15" fillId="2" borderId="1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3" borderId="15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horizontal="center" vertical="top"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3" fillId="4" borderId="19" xfId="0" applyNumberFormat="1" applyFont="1" applyFill="1" applyBorder="1" applyAlignment="1">
      <x:alignment horizontal="center" vertical="top" wrapText="1"/>
    </x:xf>
    <x:xf numFmtId="0" fontId="13" fillId="4" borderId="20" xfId="0" applyNumberFormat="1" applyFont="1" applyFill="1" applyBorder="1" applyAlignment="1">
      <x:alignment horizontal="center" vertical="top" wrapText="1"/>
    </x:xf>
    <x:xf numFmtId="0" fontId="13" fillId="4" borderId="21" xfId="0" applyNumberFormat="1" applyFont="1" applyFill="1" applyBorder="1" applyAlignment="1">
      <x:alignment horizontal="center" vertical="top" wrapText="1"/>
    </x:xf>
    <x:xf numFmtId="0" fontId="17" fillId="4" borderId="1" xfId="0" applyNumberFormat="1" applyFont="1" applyFill="1" applyBorder="1" applyAlignment="1">
      <x:alignment horizontal="center" vertical="top" wrapText="1"/>
    </x:xf>
    <x:xf numFmtId="0" fontId="17" fillId="4" borderId="2" xfId="0" applyNumberFormat="1" applyFont="1" applyFill="1" applyBorder="1" applyAlignment="1">
      <x:alignment horizontal="center" vertical="top" wrapText="1"/>
    </x:xf>
    <x:xf numFmtId="0" fontId="17" fillId="4" borderId="3" xfId="0" applyNumberFormat="1" applyFont="1" applyFill="1" applyBorder="1" applyAlignment="1">
      <x:alignment horizontal="center" vertical="top" wrapText="1"/>
    </x:xf>
    <x:xf numFmtId="0" fontId="17" fillId="4" borderId="19" xfId="0" applyNumberFormat="1" applyFont="1" applyFill="1" applyBorder="1" applyAlignment="1">
      <x:alignment horizontal="center" vertical="top" wrapText="1"/>
    </x:xf>
    <x:xf numFmtId="0" fontId="17" fillId="4" borderId="20" xfId="0" applyNumberFormat="1" applyFont="1" applyFill="1" applyBorder="1" applyAlignment="1">
      <x:alignment horizontal="center" vertical="top" wrapText="1"/>
    </x:xf>
    <x:xf numFmtId="0" fontId="17" fillId="4" borderId="21" xfId="0" applyNumberFormat="1" applyFont="1" applyFill="1" applyBorder="1" applyAlignment="1">
      <x:alignment horizontal="center" vertical="top"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0" fontId="17" fillId="4" borderId="19" xfId="0" applyNumberFormat="1" applyFont="1" applyFill="1" applyBorder="1" applyAlignment="1">
      <x:alignment horizontal="center" vertical="center" wrapText="1"/>
    </x:xf>
    <x:xf numFmtId="0" fontId="17" fillId="4" borderId="20" xfId="0" applyNumberFormat="1" applyFont="1" applyFill="1" applyBorder="1" applyAlignment="1">
      <x:alignment horizontal="center" vertical="center" wrapText="1"/>
    </x:xf>
    <x:xf numFmtId="0" fontId="17" fillId="4" borderId="21" xfId="0" applyNumberFormat="1" applyFont="1" applyFill="1" applyBorder="1" applyAlignment="1">
      <x:alignment horizontal="center" vertical="center" wrapText="1"/>
    </x:xf>
    <x:xf numFmtId="0" fontId="17" fillId="4" borderId="30" xfId="0" applyNumberFormat="1" applyFont="1" applyFill="1" applyBorder="1" applyAlignment="1">
      <x:alignment horizontal="center" vertical="center" wrapText="1"/>
    </x:xf>
    <x:xf numFmtId="0" fontId="17" fillId="4" borderId="31" xfId="0" applyNumberFormat="1" applyFont="1" applyFill="1" applyBorder="1" applyAlignment="1">
      <x:alignment horizontal="center" vertical="center" wrapText="1"/>
    </x:xf>
    <x:xf numFmtId="0" fontId="17" fillId="4" borderId="32" xfId="0" applyNumberFormat="1" applyFont="1" applyFill="1" applyBorder="1" applyAlignment="1">
      <x:alignment horizontal="center" vertical="center" wrapText="1"/>
    </x:xf>
    <x:xf numFmtId="0" fontId="17" fillId="4" borderId="33" xfId="0" applyNumberFormat="1" applyFont="1" applyFill="1" applyBorder="1" applyAlignment="1">
      <x:alignment horizontal="center" vertical="center" wrapText="1"/>
    </x:xf>
    <x:xf numFmtId="0" fontId="17" fillId="4" borderId="34" xfId="0" applyNumberFormat="1" applyFont="1" applyFill="1" applyBorder="1" applyAlignment="1">
      <x:alignment horizontal="center" vertical="center" wrapText="1"/>
    </x:xf>
    <x:xf numFmtId="0" fontId="17" fillId="4" borderId="35" xfId="0" applyNumberFormat="1" applyFont="1" applyFill="1" applyBorder="1" applyAlignment="1">
      <x:alignment horizontal="center" vertical="center" wrapText="1"/>
    </x:xf>
    <x:xf numFmtId="0" fontId="15" fillId="0" borderId="36" xfId="0" applyNumberFormat="1" applyFont="1" applyFill="1" applyBorder="1" applyAlignment="1">
      <x:alignment vertical="top" wrapText="1"/>
    </x:xf>
    <x:xf numFmtId="0" fontId="15" fillId="0" borderId="37" xfId="0" applyNumberFormat="1" applyFont="1" applyFill="1" applyBorder="1" applyAlignment="1">
      <x:alignment vertical="top" wrapText="1"/>
    </x:xf>
    <x:xf numFmtId="0" fontId="15" fillId="0" borderId="38" xfId="0" applyNumberFormat="1" applyFont="1" applyFill="1" applyBorder="1" applyAlignment="1">
      <x:alignment vertical="top" wrapText="1"/>
    </x:xf>
    <x:xf numFmtId="0" fontId="15" fillId="0" borderId="39" xfId="0" applyNumberFormat="1" applyFont="1" applyFill="1" applyBorder="1" applyAlignment="1">
      <x:alignment vertical="top" wrapText="1"/>
    </x:xf>
    <x:xf numFmtId="0" fontId="15" fillId="0" borderId="40" xfId="0" applyNumberFormat="1" applyFont="1" applyFill="1" applyBorder="1" applyAlignment="1">
      <x:alignment vertical="top" wrapText="1"/>
    </x:xf>
    <x:xf numFmtId="0" fontId="15" fillId="0" borderId="41" xfId="0" applyNumberFormat="1" applyFont="1" applyFill="1" applyBorder="1" applyAlignment="1">
      <x:alignment vertical="top" wrapText="1"/>
    </x:xf>
    <x:xf numFmtId="0" fontId="15" fillId="0" borderId="42" xfId="0" applyNumberFormat="1" applyFont="1" applyFill="1" applyBorder="1" applyAlignment="1">
      <x:alignment vertical="top" wrapText="1"/>
    </x:xf>
    <x:xf numFmtId="0" fontId="15" fillId="0" borderId="43" xfId="0" applyNumberFormat="1" applyFont="1" applyFill="1" applyBorder="1" applyAlignment="1">
      <x:alignment vertical="top" wrapText="1"/>
    </x:xf>
    <x:xf numFmtId="0" fontId="15" fillId="0" borderId="44" xfId="0" applyNumberFormat="1" applyFont="1" applyFill="1" applyBorder="1" applyAlignment="1">
      <x:alignment vertical="top" wrapText="1"/>
    </x:xf>
    <x:xf numFmtId="0" fontId="15" fillId="0" borderId="45" xfId="0" applyNumberFormat="1" applyFont="1" applyFill="1" applyBorder="1" applyAlignment="1">
      <x:alignment vertical="top" wrapText="1"/>
    </x:xf>
    <x:xf numFmtId="0" fontId="15" fillId="0" borderId="46" xfId="0" applyNumberFormat="1" applyFont="1" applyFill="1" applyBorder="1" applyAlignment="1">
      <x:alignment vertical="top" wrapText="1"/>
    </x:xf>
    <x:xf numFmtId="0" fontId="15" fillId="0" borderId="47" xfId="0" applyNumberFormat="1" applyFont="1" applyFill="1" applyBorder="1" applyAlignment="1">
      <x:alignment vertical="top" wrapText="1"/>
    </x:xf>
    <x:xf numFmtId="0" fontId="15" fillId="0" borderId="48" xfId="0" applyNumberFormat="1" applyFont="1" applyFill="1" applyBorder="1" applyAlignment="1">
      <x:alignment vertical="top" wrapText="1"/>
    </x:xf>
    <x:xf numFmtId="0" fontId="15" fillId="0" borderId="49" xfId="0" applyNumberFormat="1" applyFont="1" applyFill="1" applyBorder="1" applyAlignment="1">
      <x:alignment vertical="top" wrapText="1"/>
    </x:xf>
    <x:xf numFmtId="0" fontId="15" fillId="0" borderId="50" xfId="0" applyNumberFormat="1" applyFont="1" applyFill="1" applyBorder="1" applyAlignment="1">
      <x:alignment vertical="top" wrapText="1"/>
    </x:xf>
    <x:xf numFmtId="0" fontId="15" fillId="0" borderId="51" xfId="0" applyNumberFormat="1" applyFont="1" applyFill="1" applyBorder="1" applyAlignment="1">
      <x:alignment vertical="top" wrapText="1"/>
    </x:xf>
    <x:xf numFmtId="0" fontId="15" fillId="0" borderId="52" xfId="0" applyNumberFormat="1" applyFont="1" applyFill="1" applyBorder="1" applyAlignment="1">
      <x:alignment vertical="top" wrapText="1"/>
    </x:xf>
    <x:xf numFmtId="0" fontId="15" fillId="0" borderId="53" xfId="0" applyNumberFormat="1" applyFont="1" applyFill="1" applyBorder="1" applyAlignment="1">
      <x:alignment vertical="top" wrapText="1"/>
    </x:xf>
    <x:xf numFmtId="0" fontId="15" fillId="0" borderId="54" xfId="0" applyNumberFormat="1" applyFont="1" applyFill="1" applyBorder="1" applyAlignment="1">
      <x:alignment vertical="top" wrapText="1"/>
    </x:xf>
    <x:xf numFmtId="0" fontId="15" fillId="0" borderId="55" xfId="0" applyNumberFormat="1" applyFont="1" applyFill="1" applyBorder="1" applyAlignment="1">
      <x:alignment vertical="top" wrapText="1"/>
    </x:xf>
    <x:xf numFmtId="0" fontId="15" fillId="0" borderId="56" xfId="0" applyNumberFormat="1" applyFont="1" applyFill="1" applyBorder="1" applyAlignment="1">
      <x:alignment vertical="top" wrapText="1"/>
    </x:xf>
    <x:xf numFmtId="0" fontId="15" fillId="0" borderId="57" xfId="0" applyNumberFormat="1" applyFont="1" applyFill="1" applyBorder="1" applyAlignment="1">
      <x:alignment vertical="top" wrapText="1"/>
    </x:xf>
    <x:xf numFmtId="0" fontId="15" fillId="0" borderId="58" xfId="0" applyNumberFormat="1" applyFont="1" applyFill="1" applyBorder="1" applyAlignment="1">
      <x:alignment vertical="top" wrapText="1"/>
    </x:xf>
    <x:xf numFmtId="0" fontId="15" fillId="0" borderId="59" xfId="0" applyNumberFormat="1" applyFont="1" applyFill="1" applyBorder="1" applyAlignment="1">
      <x:alignment vertical="top" wrapText="1"/>
    </x:xf>
    <x:xf numFmtId="0" fontId="15" fillId="0" borderId="60" xfId="0" applyNumberFormat="1" applyFont="1" applyFill="1" applyBorder="1" applyAlignment="1">
      <x:alignment vertical="top" wrapText="1"/>
    </x:xf>
    <x:xf numFmtId="0" fontId="15" fillId="0" borderId="61" xfId="0" applyNumberFormat="1" applyFont="1" applyFill="1" applyBorder="1" applyAlignment="1">
      <x:alignment vertical="top" wrapText="1"/>
    </x:xf>
    <x:xf numFmtId="0" fontId="15" fillId="0" borderId="62" xfId="0" applyNumberFormat="1" applyFont="1" applyFill="1" applyBorder="1" applyAlignment="1">
      <x:alignment vertical="top" wrapText="1"/>
    </x:xf>
    <x:xf numFmtId="0" fontId="15" fillId="0" borderId="63" xfId="0" applyNumberFormat="1" applyFont="1" applyFill="1" applyBorder="1" applyAlignment="1">
      <x:alignment vertical="top" wrapText="1"/>
    </x:xf>
    <x:xf numFmtId="0" fontId="13" fillId="0" borderId="40" xfId="0" applyNumberFormat="1" applyFont="1" applyFill="1" applyBorder="1" applyAlignment="1">
      <x:alignment horizontal="left" vertical="top" wrapText="1"/>
    </x:xf>
    <x:xf numFmtId="0" fontId="13" fillId="0" borderId="41" xfId="0" applyNumberFormat="1" applyFont="1" applyFill="1" applyBorder="1" applyAlignment="1">
      <x:alignment horizontal="left" vertical="top" wrapText="1"/>
    </x:xf>
    <x:xf numFmtId="0" fontId="13" fillId="0" borderId="64" xfId="0" applyNumberFormat="1" applyFont="1" applyFill="1" applyBorder="1" applyAlignment="1">
      <x:alignment horizontal="center" vertical="top" wrapText="1"/>
    </x:xf>
    <x:xf numFmtId="0" fontId="15" fillId="0" borderId="65" xfId="0" applyNumberFormat="1" applyFont="1" applyFill="1" applyBorder="1" applyAlignment="1">
      <x:alignment vertical="top" wrapText="1"/>
    </x:xf>
    <x:xf numFmtId="0" fontId="15" fillId="0" borderId="66" xfId="0" applyNumberFormat="1" applyFont="1" applyFill="1" applyBorder="1" applyAlignment="1">
      <x:alignment vertical="top" wrapText="1"/>
    </x:xf>
    <x:xf numFmtId="0" fontId="15" fillId="0" borderId="67" xfId="0" applyNumberFormat="1" applyFont="1" applyFill="1" applyBorder="1" applyAlignment="1">
      <x:alignment vertical="top" wrapText="1"/>
    </x:xf>
    <x:xf numFmtId="0" fontId="15" fillId="0" borderId="68" xfId="0" applyNumberFormat="1" applyFont="1" applyFill="1" applyBorder="1" applyAlignment="1">
      <x:alignment vertical="top" wrapText="1"/>
    </x:xf>
    <x:xf numFmtId="0" fontId="13" fillId="0" borderId="50" xfId="0" applyNumberFormat="1" applyFont="1" applyFill="1" applyBorder="1" applyAlignment="1">
      <x:alignment horizontal="left" vertical="top" wrapText="1"/>
    </x:xf>
    <x:xf numFmtId="0" fontId="13" fillId="0" borderId="51" xfId="0" applyNumberFormat="1" applyFont="1" applyFill="1" applyBorder="1" applyAlignment="1">
      <x:alignment horizontal="left" vertical="top" wrapText="1"/>
    </x:xf>
    <x:xf numFmtId="0" fontId="13" fillId="0" borderId="69" xfId="0" applyNumberFormat="1" applyFont="1" applyFill="1" applyBorder="1" applyAlignment="1">
      <x:alignment horizontal="center" vertical="top" wrapText="1"/>
    </x:xf>
    <x:xf numFmtId="0" fontId="15" fillId="0" borderId="70" xfId="0" applyNumberFormat="1" applyFont="1" applyFill="1" applyBorder="1" applyAlignment="1">
      <x:alignment vertical="top" wrapText="1"/>
    </x:xf>
    <x:xf numFmtId="0" fontId="15" fillId="0" borderId="71" xfId="0" applyNumberFormat="1" applyFont="1" applyFill="1" applyBorder="1" applyAlignment="1">
      <x:alignment vertical="top" wrapText="1"/>
    </x:xf>
    <x:xf numFmtId="0" fontId="15" fillId="0" borderId="72" xfId="0" applyNumberFormat="1" applyFont="1" applyFill="1" applyBorder="1" applyAlignment="1">
      <x:alignment vertical="top" wrapText="1"/>
    </x:xf>
    <x:xf numFmtId="0" fontId="15" fillId="0" borderId="73" xfId="0" applyNumberFormat="1" applyFont="1" applyFill="1" applyBorder="1" applyAlignment="1">
      <x:alignment vertical="top" wrapText="1"/>
    </x:xf>
    <x:xf numFmtId="0" fontId="15" fillId="0" borderId="74" xfId="0" applyNumberFormat="1" applyFont="1" applyFill="1" applyBorder="1" applyAlignment="1">
      <x:alignment vertical="top" wrapText="1"/>
    </x:xf>
    <x:xf numFmtId="0" fontId="15" fillId="0" borderId="75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13" fillId="4" borderId="15" xfId="0" applyNumberFormat="1" applyFont="1" applyFill="1" applyBorder="1" applyAlignment="1">
      <x:alignment horizontal="center" vertical="top" wrapText="1"/>
    </x:xf>
    <x:xf numFmtId="0" fontId="17" fillId="4" borderId="0" xfId="0" applyNumberFormat="1" applyFont="1" applyFill="1" applyBorder="1" applyAlignment="1">
      <x:alignment horizontal="center" vertical="top" wrapText="1"/>
    </x:xf>
    <x:xf numFmtId="0" fontId="17" fillId="4" borderId="15" xfId="0" applyNumberFormat="1" applyFont="1" applyFill="1" applyBorder="1" applyAlignment="1">
      <x:alignment horizontal="center" vertical="top" wrapText="1"/>
    </x:xf>
    <x:xf numFmtId="0" fontId="17" fillId="4" borderId="0" xfId="0" applyNumberFormat="1" applyFont="1" applyFill="1" applyBorder="1" applyAlignment="1">
      <x:alignment horizontal="center" vertical="center" wrapText="1"/>
    </x:xf>
    <x:xf numFmtId="0" fontId="17" fillId="4" borderId="15" xfId="0" applyNumberFormat="1" applyFont="1" applyFill="1" applyBorder="1" applyAlignment="1">
      <x:alignment horizontal="center" vertical="center" wrapText="1"/>
    </x:xf>
    <x:xf numFmtId="0" fontId="13" fillId="0" borderId="37" xfId="0" applyNumberFormat="1" applyFont="1" applyFill="1" applyBorder="1" applyAlignment="1">
      <x:alignment horizontal="center" vertical="top" wrapText="1"/>
    </x:xf>
    <x:xf numFmtId="0" fontId="13" fillId="0" borderId="43" xfId="0" applyNumberFormat="1" applyFont="1" applyFill="1" applyBorder="1" applyAlignment="1">
      <x:alignment horizontal="center" vertical="top" wrapText="1"/>
    </x:xf>
    <x:xf numFmtId="0" fontId="13" fillId="0" borderId="47" xfId="0" applyNumberFormat="1" applyFont="1" applyFill="1" applyBorder="1" applyAlignment="1">
      <x:alignment horizontal="center" vertical="top" wrapText="1"/>
    </x:xf>
    <x:xf numFmtId="0" fontId="13" fillId="0" borderId="53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5" fillId="4" borderId="15" xfId="0" applyNumberFormat="1" applyFont="1" applyFill="1" applyBorder="1" applyAlignment="1">
      <x:alignment vertical="top" wrapText="1"/>
    </x:xf>
    <x:xf numFmtId="0" fontId="17" fillId="4" borderId="0" xfId="0" applyNumberFormat="1" applyFont="1" applyFill="1" applyBorder="1" applyAlignment="1">
      <x:alignment vertical="top" wrapText="1"/>
    </x:xf>
    <x:xf numFmtId="0" fontId="17" fillId="4" borderId="15" xfId="0" applyNumberFormat="1" applyFont="1" applyFill="1" applyBorder="1" applyAlignment="1">
      <x:alignment vertical="top" wrapText="1"/>
    </x:xf>
    <x:xf numFmtId="0" fontId="13" fillId="4" borderId="13" xfId="0" applyNumberFormat="1" applyFont="1" applyFill="1" applyBorder="1" applyAlignment="1">
      <x:alignment horizontal="center" vertical="top" wrapText="1"/>
    </x:xf>
    <x:xf numFmtId="0" fontId="13" fillId="4" borderId="7" xfId="0" applyNumberFormat="1" applyFont="1" applyFill="1" applyBorder="1" applyAlignment="1">
      <x:alignment horizontal="center" vertical="top" wrapText="1"/>
    </x:xf>
    <x:xf numFmtId="0" fontId="13" fillId="4" borderId="8" xfId="0" applyNumberFormat="1" applyFont="1" applyFill="1" applyBorder="1" applyAlignment="1">
      <x:alignment horizontal="center" vertical="top" wrapText="1"/>
    </x:xf>
    <x:xf numFmtId="0" fontId="13" fillId="4" borderId="28" xfId="0" applyNumberFormat="1" applyFont="1" applyFill="1" applyBorder="1" applyAlignment="1">
      <x:alignment horizontal="center" vertical="top" wrapText="1"/>
    </x:xf>
    <x:xf numFmtId="0" fontId="13" fillId="4" borderId="24" xfId="0" applyNumberFormat="1" applyFont="1" applyFill="1" applyBorder="1" applyAlignment="1">
      <x:alignment horizontal="center" vertical="top" wrapText="1"/>
    </x:xf>
    <x:xf numFmtId="0" fontId="13" fillId="4" borderId="17" xfId="0" applyNumberFormat="1" applyFont="1" applyFill="1" applyBorder="1" applyAlignment="1">
      <x:alignment horizontal="center" vertical="top" wrapText="1"/>
    </x:xf>
    <x:xf numFmtId="0" fontId="17" fillId="4" borderId="13" xfId="0" applyNumberFormat="1" applyFont="1" applyFill="1" applyBorder="1" applyAlignment="1">
      <x:alignment horizontal="center" vertical="top" wrapText="1"/>
    </x:xf>
    <x:xf numFmtId="0" fontId="17" fillId="4" borderId="7" xfId="0" applyNumberFormat="1" applyFont="1" applyFill="1" applyBorder="1" applyAlignment="1">
      <x:alignment horizontal="center" vertical="top" wrapText="1"/>
    </x:xf>
    <x:xf numFmtId="0" fontId="17" fillId="4" borderId="8" xfId="0" applyNumberFormat="1" applyFont="1" applyFill="1" applyBorder="1" applyAlignment="1">
      <x:alignment horizontal="center" vertical="top" wrapText="1"/>
    </x:xf>
    <x:xf numFmtId="0" fontId="17" fillId="4" borderId="28" xfId="0" applyNumberFormat="1" applyFont="1" applyFill="1" applyBorder="1" applyAlignment="1">
      <x:alignment horizontal="center" vertical="top" wrapText="1"/>
    </x:xf>
    <x:xf numFmtId="0" fontId="17" fillId="4" borderId="24" xfId="0" applyNumberFormat="1" applyFont="1" applyFill="1" applyBorder="1" applyAlignment="1">
      <x:alignment horizontal="center" vertical="top" wrapText="1"/>
    </x:xf>
    <x:xf numFmtId="0" fontId="17" fillId="4" borderId="17" xfId="0" applyNumberFormat="1" applyFont="1" applyFill="1" applyBorder="1" applyAlignment="1">
      <x:alignment horizontal="center" vertical="top" wrapText="1"/>
    </x:xf>
    <x:xf numFmtId="0" fontId="17" fillId="4" borderId="13" xfId="0" applyNumberFormat="1" applyFont="1" applyFill="1" applyBorder="1" applyAlignment="1">
      <x:alignment horizontal="center" vertical="center" wrapText="1"/>
    </x:xf>
    <x:xf numFmtId="0" fontId="17" fillId="4" borderId="7" xfId="0" applyNumberFormat="1" applyFont="1" applyFill="1" applyBorder="1" applyAlignment="1">
      <x:alignment horizontal="center" vertical="center" wrapText="1"/>
    </x:xf>
    <x:xf numFmtId="0" fontId="17" fillId="4" borderId="8" xfId="0" applyNumberFormat="1" applyFont="1" applyFill="1" applyBorder="1" applyAlignment="1">
      <x:alignment horizontal="center" vertical="center" wrapText="1"/>
    </x:xf>
    <x:xf numFmtId="0" fontId="17" fillId="4" borderId="28" xfId="0" applyNumberFormat="1" applyFont="1" applyFill="1" applyBorder="1" applyAlignment="1">
      <x:alignment horizontal="center" vertical="center" wrapText="1"/>
    </x:xf>
    <x:xf numFmtId="0" fontId="17" fillId="4" borderId="24" xfId="0" applyNumberFormat="1" applyFont="1" applyFill="1" applyBorder="1" applyAlignment="1">
      <x:alignment horizontal="center" vertical="center" wrapText="1"/>
    </x:xf>
    <x:xf numFmtId="0" fontId="17" fillId="4" borderId="17" xfId="0" applyNumberFormat="1" applyFont="1" applyFill="1" applyBorder="1" applyAlignment="1">
      <x:alignment horizontal="center" vertical="center" wrapText="1"/>
    </x:xf>
    <x:xf numFmtId="0" fontId="13" fillId="5" borderId="13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7" xfId="0" applyNumberFormat="1" applyFont="1" applyFill="1" applyBorder="1" applyAlignment="1">
      <x:alignment vertical="top" wrapText="1"/>
    </x:xf>
    <x:xf numFmtId="0" fontId="13" fillId="5" borderId="8" xfId="0" applyNumberFormat="1" applyFont="1" applyFill="1" applyBorder="1" applyAlignment="1">
      <x:alignment vertical="top" wrapText="1"/>
    </x:xf>
    <x:xf numFmtId="0" fontId="13" fillId="5" borderId="28" xfId="0" applyNumberFormat="1" applyFont="1" applyFill="1" applyBorder="1" applyAlignment="1">
      <x:alignment vertical="top" wrapText="1"/>
    </x:xf>
    <x:xf numFmtId="0" fontId="13" fillId="5" borderId="15" xfId="0" applyNumberFormat="1" applyFont="1" applyFill="1" applyBorder="1" applyAlignment="1">
      <x:alignment vertical="top" wrapText="1"/>
    </x:xf>
    <x:xf numFmtId="0" fontId="13" fillId="5" borderId="24" xfId="0" applyNumberFormat="1" applyFont="1" applyFill="1" applyBorder="1" applyAlignment="1">
      <x:alignment vertical="top" wrapText="1"/>
    </x:xf>
    <x:xf numFmtId="0" fontId="13" fillId="5" borderId="17" xfId="0" applyNumberFormat="1" applyFont="1" applyFill="1" applyBorder="1" applyAlignment="1">
      <x:alignment vertical="top" wrapText="1"/>
    </x:xf>
    <x:xf numFmtId="0" fontId="18" fillId="5" borderId="13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 applyAlignment="1">
      <x:alignment vertical="top" wrapText="1"/>
    </x:xf>
    <x:xf numFmtId="0" fontId="18" fillId="5" borderId="7" xfId="0" applyNumberFormat="1" applyFont="1" applyFill="1" applyBorder="1" applyAlignment="1">
      <x:alignment vertical="top" wrapText="1"/>
    </x:xf>
    <x:xf numFmtId="0" fontId="18" fillId="5" borderId="8" xfId="0" applyNumberFormat="1" applyFont="1" applyFill="1" applyBorder="1" applyAlignment="1">
      <x:alignment vertical="top" wrapText="1"/>
    </x:xf>
    <x:xf numFmtId="0" fontId="18" fillId="5" borderId="28" xfId="0" applyNumberFormat="1" applyFont="1" applyFill="1" applyBorder="1" applyAlignment="1">
      <x:alignment vertical="top" wrapText="1"/>
    </x:xf>
    <x:xf numFmtId="0" fontId="18" fillId="5" borderId="15" xfId="0" applyNumberFormat="1" applyFont="1" applyFill="1" applyBorder="1" applyAlignment="1">
      <x:alignment vertical="top" wrapText="1"/>
    </x:xf>
    <x:xf numFmtId="0" fontId="18" fillId="5" borderId="24" xfId="0" applyNumberFormat="1" applyFont="1" applyFill="1" applyBorder="1" applyAlignment="1">
      <x:alignment vertical="top" wrapText="1"/>
    </x:xf>
    <x:xf numFmtId="0" fontId="18" fillId="5" borderId="17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horizontal="left" vertical="top" wrapText="1"/>
    </x:xf>
    <x:xf numFmtId="0" fontId="13" fillId="5" borderId="15" xfId="0" applyNumberFormat="1" applyFont="1" applyFill="1" applyBorder="1" applyAlignment="1">
      <x:alignment horizontal="left" vertical="top" wrapText="1"/>
    </x:xf>
    <x:xf numFmtId="0" fontId="18" fillId="5" borderId="0" xfId="0" applyNumberFormat="1" applyFont="1" applyFill="1" applyBorder="1" applyAlignment="1">
      <x:alignment horizontal="left" vertical="top" wrapText="1"/>
    </x:xf>
    <x:xf numFmtId="0" fontId="18" fillId="5" borderId="15" xfId="0" applyNumberFormat="1" applyFont="1" applyFill="1" applyBorder="1" applyAlignment="1">
      <x:alignment horizontal="left" vertical="top" wrapText="1"/>
    </x:xf>
    <x:xf numFmtId="0" fontId="18" fillId="5" borderId="0" xfId="0" applyNumberFormat="1" applyFont="1" applyFill="1" applyBorder="1" applyAlignment="1">
      <x:alignment horizontal="left" vertical="center" wrapText="1"/>
    </x:xf>
    <x:xf numFmtId="0" fontId="18" fillId="5" borderId="15" xfId="0" applyNumberFormat="1" applyFont="1" applyFill="1" applyBorder="1" applyAlignment="1">
      <x:alignment horizontal="left" vertical="center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7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top" wrapText="1"/>
    </x:xf>
    <x:xf numFmtId="0" fontId="19" fillId="0" borderId="22" xfId="0" applyNumberFormat="1" applyFont="1" applyFill="1" applyBorder="1" applyAlignment="1">
      <x:alignment vertical="top" wrapText="1"/>
    </x:xf>
    <x:xf numFmtId="0" fontId="19" fillId="0" borderId="24" xfId="0" applyNumberFormat="1" applyFont="1" applyFill="1" applyBorder="1" applyAlignment="1">
      <x:alignment vertical="top" wrapText="1"/>
    </x:xf>
    <x:xf numFmtId="0" fontId="19" fillId="0" borderId="25" xfId="0" applyNumberFormat="1" applyFont="1" applyFill="1" applyBorder="1" applyAlignment="1">
      <x:alignment vertical="top" wrapText="1"/>
    </x:xf>
    <x:xf numFmtId="0" fontId="19" fillId="0" borderId="76" xfId="0" applyNumberFormat="1" applyFont="1" applyFill="1" applyBorder="1" applyAlignment="1">
      <x:alignment vertical="top" wrapText="1"/>
    </x:xf>
    <x:xf numFmtId="0" fontId="19" fillId="0" borderId="77" xfId="0" applyNumberFormat="1" applyFont="1" applyFill="1" applyBorder="1" applyAlignment="1">
      <x:alignment vertical="top" wrapText="1"/>
    </x:xf>
    <x:xf numFmtId="0" fontId="19" fillId="0" borderId="78" xfId="0" applyNumberFormat="1" applyFont="1" applyFill="1" applyBorder="1" applyAlignment="1">
      <x:alignment vertical="top" wrapText="1"/>
    </x:xf>
    <x:xf numFmtId="0" fontId="19" fillId="0" borderId="79" xfId="0" applyNumberFormat="1" applyFont="1" applyFill="1" applyBorder="1" applyAlignment="1">
      <x:alignment vertical="top" wrapText="1"/>
    </x:xf>
    <x:xf numFmtId="0" fontId="19" fillId="0" borderId="80" xfId="0" applyNumberFormat="1" applyFont="1" applyFill="1" applyBorder="1" applyAlignment="1">
      <x:alignment vertical="top" wrapText="1"/>
    </x:xf>
    <x:xf numFmtId="0" fontId="19" fillId="0" borderId="81" xfId="0" applyNumberFormat="1" applyFont="1" applyFill="1" applyBorder="1" applyAlignment="1">
      <x:alignment vertical="top" wrapText="1"/>
    </x:xf>
    <x:xf numFmtId="0" fontId="13" fillId="0" borderId="76" xfId="0" applyNumberFormat="1" applyFont="1" applyFill="1" applyBorder="1" applyAlignment="1">
      <x:alignment vertical="top" wrapText="1"/>
    </x:xf>
    <x:xf numFmtId="0" fontId="13" fillId="0" borderId="77" xfId="0" applyNumberFormat="1" applyFont="1" applyFill="1" applyBorder="1" applyAlignment="1">
      <x:alignment vertical="top" wrapText="1"/>
    </x:xf>
    <x:xf numFmtId="0" fontId="13" fillId="0" borderId="82" xfId="0" applyNumberFormat="1" applyFont="1" applyFill="1" applyBorder="1" applyAlignment="1">
      <x:alignment vertical="top" wrapText="1"/>
    </x:xf>
    <x:xf numFmtId="0" fontId="13" fillId="0" borderId="79" xfId="0" applyNumberFormat="1" applyFont="1" applyFill="1" applyBorder="1" applyAlignment="1">
      <x:alignment vertical="top" wrapText="1"/>
    </x:xf>
    <x:xf numFmtId="0" fontId="13" fillId="0" borderId="80" xfId="0" applyNumberFormat="1" applyFont="1" applyFill="1" applyBorder="1" applyAlignment="1">
      <x:alignment vertical="top" wrapText="1"/>
    </x:xf>
    <x:xf numFmtId="0" fontId="13" fillId="0" borderId="83" xfId="0" applyNumberFormat="1" applyFont="1" applyFill="1" applyBorder="1" applyAlignment="1">
      <x:alignment vertical="top" wrapText="1"/>
    </x:xf>
    <x:xf numFmtId="0" fontId="13" fillId="0" borderId="78" xfId="0" applyNumberFormat="1" applyFont="1" applyFill="1" applyBorder="1" applyAlignment="1">
      <x:alignment vertical="top" wrapText="1"/>
    </x:xf>
    <x:xf numFmtId="0" fontId="13" fillId="0" borderId="81" xfId="0" applyNumberFormat="1" applyFont="1" applyFill="1" applyBorder="1" applyAlignment="1">
      <x:alignment vertical="top" wrapText="1"/>
    </x:xf>
    <x:xf numFmtId="0" fontId="19" fillId="0" borderId="82" xfId="0" applyNumberFormat="1" applyFont="1" applyFill="1" applyBorder="1" applyAlignment="1">
      <x:alignment vertical="top" wrapText="1"/>
    </x:xf>
    <x:xf numFmtId="0" fontId="19" fillId="0" borderId="42" xfId="0" applyNumberFormat="1" applyFont="1" applyFill="1" applyBorder="1" applyAlignment="1">
      <x:alignment vertical="top" wrapText="1"/>
    </x:xf>
    <x:xf numFmtId="0" fontId="19" fillId="0" borderId="83" xfId="0" applyNumberFormat="1" applyFont="1" applyFill="1" applyBorder="1" applyAlignment="1">
      <x:alignment vertical="top" wrapText="1"/>
    </x:xf>
    <x:xf numFmtId="0" fontId="19" fillId="0" borderId="52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6FA"/>
      <x:rgbColor rgb="FFD9EAF7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F0D9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17365D"/>
      <x:rgbColor rgb="FF339966"/>
      <x:rgbColor rgb="FF003300"/>
      <x:rgbColor rgb="FF333300"/>
      <x:rgbColor rgb="FF993300"/>
      <x:rgbColor rgb="FF993366"/>
      <x:rgbColor rgb="FF1F4E78"/>
      <x:rgbColor rgb="FF1F1F1F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f940e90c34673" /><Relationship Type="http://schemas.openxmlformats.org/officeDocument/2006/relationships/theme" Target="/xl/theme/theme1.xml" Id="Reeabfa5de4a340f9" /><Relationship Type="http://schemas.openxmlformats.org/officeDocument/2006/relationships/sharedStrings" Target="/xl/sharedStrings.xml" Id="Re60a75e1d0dc4f67" /><Relationship Type="http://schemas.openxmlformats.org/officeDocument/2006/relationships/worksheet" Target="/xl/worksheets/sheet1.xml" Id="Re868285748594b73" /><Relationship Type="http://schemas.openxmlformats.org/officeDocument/2006/relationships/worksheet" Target="/xl/worksheets/sheet2.xml" Id="R432068e49b8b4f21" /><Relationship Type="http://schemas.openxmlformats.org/officeDocument/2006/relationships/worksheet" Target="/xl/worksheets/sheet3.xml" Id="R38e077496f3440d9" /><Relationship Type="http://schemas.openxmlformats.org/officeDocument/2006/relationships/worksheet" Target="/xl/worksheets/sheet4.xml" Id="R880851a5b75e4c22" /><Relationship Type="http://schemas.openxmlformats.org/officeDocument/2006/relationships/worksheet" Target="/xl/worksheets/sheet5.xml" Id="Red6bc27a78f343d0" /><Relationship Type="http://schemas.openxmlformats.org/officeDocument/2006/relationships/worksheet" Target="/xl/worksheets/sheet6.xml" Id="Refc4d15b898243ea" /><Relationship Type="http://schemas.openxmlformats.org/officeDocument/2006/relationships/worksheet" Target="/xl/worksheets/sheet7.xml" Id="R6d3e7516835440be" /><Relationship Type="http://schemas.openxmlformats.org/officeDocument/2006/relationships/worksheet" Target="/xl/worksheets/sheet8.xml" Id="R7888546f100746d6" /><Relationship Type="http://schemas.openxmlformats.org/officeDocument/2006/relationships/worksheet" Target="/xl/worksheets/sheet9.xml" Id="Rd1cd30920cfe4847" /><Relationship Type="http://schemas.openxmlformats.org/officeDocument/2006/relationships/worksheet" Target="/xl/worksheets/sheet10.xml" Id="R943c319faf254c9d" /><Relationship Type="http://schemas.openxmlformats.org/officeDocument/2006/relationships/worksheet" Target="/xl/worksheets/sheet11.xml" Id="R4f3d39427de54559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24" hidden="0" customWidth="1"/>
    <x:col min="2" max="2" width="38" hidden="0" customWidth="1"/>
    <x:col min="3" max="5" width="18" customWidth="1"/>
    <x:col min="6" max="6" width="46" hidden="0" customWidth="1"/>
    <x:col min="3" max="3" width="18" hidden="0" customWidth="1"/>
    <x:col min="4" max="4" width="16" hidden="0" customWidth="1"/>
    <x:col min="5" max="5" width="24" hidden="0" customWidth="1"/>
  </x:cols>
  <x:sheetData>
    <x:row r="1" ht="28" customHeight="1">
      <x:c r="A1" s="181" t="s">
        <x:v>0</x:v>
      </x:c>
      <x:c r="B1" s="181"/>
      <x:c r="C1" s="181"/>
      <x:c r="D1" s="181"/>
      <x:c r="E1" s="181"/>
      <x:c r="F1" s="181"/>
    </x:row>
    <x:row r="2" ht="30" customHeight="1">
      <x:c r="A2" s="187" t="s">
        <x:v>1</x:v>
      </x:c>
      <x:c r="B2" s="187"/>
      <x:c r="C2" s="187"/>
      <x:c r="D2" s="187"/>
      <x:c r="E2" s="187"/>
      <x:c r="F2" s="187"/>
    </x:row>
    <x:row r="3" ht="14.25" customHeight="1">
      <x:c r="A3" s="135"/>
      <x:c r="B3" s="135"/>
      <x:c r="C3" s="135"/>
      <x:c r="D3" s="135"/>
      <x:c r="E3" s="135"/>
      <x:c r="F3" s="135"/>
    </x:row>
    <x:row r="4" ht="24" customHeight="1">
      <x:c r="A4" s="355" t="s">
        <x:v>2</x:v>
      </x:c>
      <x:c r="B4" s="355"/>
      <x:c r="C4" s="355"/>
      <x:c r="D4" s="355"/>
      <x:c r="E4" s="355"/>
      <x:c r="F4" s="355"/>
    </x:row>
    <x:row r="5" ht="15" customHeight="1">
      <x:c r="A5" s="137" t="s">
        <x:v>3</x:v>
      </x:c>
      <x:c r="B5" s="138" t="s">
        <x:v>4</x:v>
      </x:c>
      <x:c r="C5" s="138"/>
      <x:c r="D5" s="138"/>
      <x:c r="E5" s="138"/>
      <x:c r="F5" s="139"/>
    </x:row>
    <x:row r="6" ht="15" customHeight="1">
      <x:c r="A6" s="363" t="s">
        <x:v>5</x:v>
      </x:c>
      <x:c r="B6" s="262" t="s">
        <x:v>6</x:v>
      </x:c>
      <x:c r="C6" s="141"/>
      <x:c r="D6" s="141"/>
      <x:c r="E6" s="141"/>
      <x:c r="F6" s="142"/>
    </x:row>
    <x:row r="7" ht="15" customHeight="1">
      <x:c r="A7" s="364" t="s">
        <x:v>7</x:v>
      </x:c>
      <x:c r="B7" s="264" t="s">
        <x:v>8</x:v>
      </x:c>
      <x:c r="C7" s="135"/>
      <x:c r="D7" s="135"/>
      <x:c r="E7" s="135"/>
      <x:c r="F7" s="144"/>
    </x:row>
    <x:row r="8" ht="15" customHeight="1">
      <x:c r="A8" s="364" t="s">
        <x:v>9</x:v>
      </x:c>
      <x:c r="B8" s="264" t="s">
        <x:v>10</x:v>
      </x:c>
      <x:c r="C8" s="135"/>
      <x:c r="D8" s="135"/>
      <x:c r="E8" s="135"/>
      <x:c r="F8" s="144"/>
    </x:row>
    <x:row r="9" ht="34" customHeight="1">
      <x:c r="A9" s="364" t="s">
        <x:v>11</x:v>
      </x:c>
      <x:c r="B9" s="264" t="s">
        <x:v>12</x:v>
      </x:c>
      <x:c r="C9" s="135"/>
      <x:c r="D9" s="135"/>
      <x:c r="E9" s="135"/>
      <x:c r="F9" s="144"/>
    </x:row>
    <x:row r="10" ht="34" customHeight="1">
      <x:c r="A10" s="364" t="s">
        <x:v>13</x:v>
      </x:c>
      <x:c r="B10" s="264" t="s">
        <x:v>14</x:v>
      </x:c>
      <x:c r="C10" s="135"/>
      <x:c r="D10" s="135"/>
      <x:c r="E10" s="135"/>
      <x:c r="F10" s="144"/>
    </x:row>
    <x:row r="11" ht="34" customHeight="1">
      <x:c r="A11" s="364" t="s">
        <x:v>15</x:v>
      </x:c>
      <x:c r="B11" s="264" t="s">
        <x:v>16</x:v>
      </x:c>
      <x:c r="C11" s="135"/>
      <x:c r="D11" s="135"/>
      <x:c r="E11" s="135"/>
      <x:c r="F11" s="144"/>
    </x:row>
    <x:row r="12" ht="34" customHeight="1">
      <x:c r="A12" s="365" t="s">
        <x:v>17</x:v>
      </x:c>
      <x:c r="B12" s="268" t="s">
        <x:v>18</x:v>
      </x:c>
      <x:c r="C12" s="146"/>
      <x:c r="D12" s="146"/>
      <x:c r="E12" s="146"/>
      <x:c r="F12" s="147"/>
    </x:row>
    <x:row r="13" ht="14.25" customHeight="1">
      <x:c r="A13" s="135"/>
      <x:c r="B13" s="135"/>
      <x:c r="C13" s="135"/>
      <x:c r="D13" s="135"/>
      <x:c r="E13" s="135"/>
      <x:c r="F13" s="135"/>
    </x:row>
    <x:row r="14" ht="24" customHeight="1">
      <x:c r="A14" s="355" t="s">
        <x:v>19</x:v>
      </x:c>
      <x:c r="B14" s="355"/>
      <x:c r="C14" s="355"/>
      <x:c r="D14" s="355"/>
      <x:c r="E14" s="355"/>
      <x:c r="F14" s="355"/>
    </x:row>
    <x:row r="15" ht="15" customHeight="1">
      <x:c r="A15" s="137" t="s">
        <x:v>20</x:v>
      </x:c>
      <x:c r="B15" s="138" t="s">
        <x:v>21</x:v>
      </x:c>
      <x:c r="C15" s="138" t="s">
        <x:v>22</x:v>
      </x:c>
      <x:c r="D15" s="138" t="s">
        <x:v>23</x:v>
      </x:c>
      <x:c r="E15" s="138" t="s">
        <x:v>24</x:v>
      </x:c>
      <x:c r="F15" s="139" t="s">
        <x:v>25</x:v>
      </x:c>
    </x:row>
    <x:row r="16" ht="15" customHeight="1">
      <x:c r="A16" s="363" t="s">
        <x:v>26</x:v>
      </x:c>
      <x:c r="B16" s="260" t="n">
        <x:f>COUNTA('01_Lab_Catalog'!A5:A16)</x:f>
        <x:v>12</x:v>
      </x:c>
      <x:c r="C16" s="260">
        <x:v>12</x:v>
      </x:c>
      <x:c r="D16" s="260" t="str">
        <x:f t="shared" ref="D16:D23" si="0">IF(B16&gt;=C16,"ĐẠT","CHƯA ĐẠT")</x:f>
        <x:v>ĐẠT</x:v>
      </x:c>
      <x:c r="E16" s="260" t="s">
        <x:v>27</x:v>
      </x:c>
      <x:c r="F16" s="262" t="s">
        <x:v>28</x:v>
      </x:c>
    </x:row>
    <x:row r="17" ht="15" customHeight="1">
      <x:c r="A17" s="364" t="s">
        <x:v>29</x:v>
      </x:c>
      <x:c r="B17" s="135" t="n">
        <x:f>COUNTIF('01_Lab_Catalog'!B5:B16,"Manual")</x:f>
        <x:v>3</x:v>
      </x:c>
      <x:c r="C17" s="135">
        <x:v>3</x:v>
      </x:c>
      <x:c r="D17" s="135" t="str">
        <x:f t="shared" si="0"/>
        <x:v>ĐẠT</x:v>
      </x:c>
      <x:c r="E17" s="135" t="s">
        <x:v>27</x:v>
      </x:c>
      <x:c r="F17" s="264" t="s">
        <x:v>30</x:v>
      </x:c>
    </x:row>
    <x:row r="18" ht="15" customHeight="1">
      <x:c r="A18" s="364" t="s">
        <x:v>31</x:v>
      </x:c>
      <x:c r="B18" s="135" t="n">
        <x:f>COUNTIF('01_Lab_Catalog'!B5:B16,"API")</x:f>
        <x:v>3</x:v>
      </x:c>
      <x:c r="C18" s="135">
        <x:v>3</x:v>
      </x:c>
      <x:c r="D18" s="135" t="str">
        <x:f t="shared" si="0"/>
        <x:v>ĐẠT</x:v>
      </x:c>
      <x:c r="E18" s="135" t="s">
        <x:v>27</x:v>
      </x:c>
      <x:c r="F18" s="264" t="s">
        <x:v>30</x:v>
      </x:c>
    </x:row>
    <x:row r="19" ht="15" customHeight="1">
      <x:c r="A19" s="364" t="s">
        <x:v>32</x:v>
      </x:c>
      <x:c r="B19" s="135" t="n">
        <x:f>COUNTIF('01_Lab_Catalog'!B5:B16,"Data")</x:f>
        <x:v>3</x:v>
      </x:c>
      <x:c r="C19" s="135">
        <x:v>3</x:v>
      </x:c>
      <x:c r="D19" s="135" t="str">
        <x:f t="shared" si="0"/>
        <x:v>ĐẠT</x:v>
      </x:c>
      <x:c r="E19" s="135" t="s">
        <x:v>27</x:v>
      </x:c>
      <x:c r="F19" s="264" t="s">
        <x:v>30</x:v>
      </x:c>
    </x:row>
    <x:row r="20" ht="15" customHeight="1">
      <x:c r="A20" s="364" t="s">
        <x:v>33</x:v>
      </x:c>
      <x:c r="B20" s="135" t="n">
        <x:f>COUNTIF('01_Lab_Catalog'!B5:B16,"Automation")</x:f>
        <x:v>3</x:v>
      </x:c>
      <x:c r="C20" s="135">
        <x:v>3</x:v>
      </x:c>
      <x:c r="D20" s="135" t="str">
        <x:f t="shared" si="0"/>
        <x:v>ĐẠT</x:v>
      </x:c>
      <x:c r="E20" s="135" t="s">
        <x:v>27</x:v>
      </x:c>
      <x:c r="F20" s="264" t="s">
        <x:v>30</x:v>
      </x:c>
    </x:row>
    <x:row r="21" ht="34" customHeight="1">
      <x:c r="A21" s="364" t="s">
        <x:v>34</x:v>
      </x:c>
      <x:c r="B21" s="135" t="n">
        <x:f>COUNTIF('05_Artifact_Matrix'!F5:F16,"Y")</x:f>
        <x:v>4</x:v>
      </x:c>
      <x:c r="C21" s="135">
        <x:v>12</x:v>
      </x:c>
      <x:c r="D21" s="135" t="str">
        <x:f t="shared" si="0"/>
        <x:v>CHƯA ĐẠT</x:v>
      </x:c>
      <x:c r="E21" s="135" t="s">
        <x:v>35</x:v>
      </x:c>
      <x:c r="F21" s="264" t="s">
        <x:v>36</x:v>
      </x:c>
    </x:row>
    <x:row r="22" ht="34" customHeight="1">
      <x:c r="A22" s="364" t="s">
        <x:v>37</x:v>
      </x:c>
      <x:c r="B22" s="135" t="n">
        <x:f>COUNTA('02_Fault_Manifest'!A5:A16)+COUNTA('02_Fault_Manifest'!A21:A43)</x:f>
        <x:v>35</x:v>
      </x:c>
      <x:c r="C22" s="135">
        <x:v>12</x:v>
      </x:c>
      <x:c r="D22" s="135" t="str">
        <x:f t="shared" si="0"/>
        <x:v>ĐẠT</x:v>
      </x:c>
      <x:c r="E22" s="135" t="s">
        <x:v>38</x:v>
      </x:c>
      <x:c r="F22" s="264" t="s">
        <x:v>39</x:v>
      </x:c>
    </x:row>
    <x:row r="23" ht="34" customHeight="1">
      <x:c r="A23" s="377" t="s">
        <x:v>40</x:v>
      </x:c>
      <x:c r="B23" s="146" t="n">
        <x:f>COUNTIF('07_Reset_Verification'!G5:G16,"PASS")</x:f>
        <x:v>12</x:v>
      </x:c>
      <x:c r="C23" s="146">
        <x:v>12</x:v>
      </x:c>
      <x:c r="D23" s="146" t="str">
        <x:f t="shared" si="0"/>
        <x:v>ĐẠT</x:v>
      </x:c>
      <x:c r="E23" s="146" t="s">
        <x:v>41</x:v>
      </x:c>
      <x:c r="F23" s="286" t="s">
        <x:v>42</x:v>
      </x:c>
    </x:row>
    <x:row r="24" ht="34" customHeight="1">
      <x:c r="A24" s="378" t="s">
        <x:v>43</x:v>
      </x:c>
      <x:c r="B24" s="266" t="n">
        <x:f>COUNTIF('06_Execution'!H5:H16,"PASS")</x:f>
        <x:v>2</x:v>
      </x:c>
      <x:c r="C24" s="266">
        <x:v>12</x:v>
      </x:c>
      <x:c r="D24" s="266" t="str">
        <x:f>IF(B24=C24,"ĐẠT","CHƯA ĐẠT")</x:f>
        <x:v>CHƯA ĐẠT</x:v>
      </x:c>
      <x:c r="E24" s="266" t="s">
        <x:v>44</x:v>
      </x:c>
      <x:c r="F24" s="268" t="s">
        <x:v>45</x:v>
      </x:c>
    </x:row>
    <x:row r="25" ht="24" customHeight="1">
      <x:c r="A25" s="355" t="s">
        <x:v>46</x:v>
      </x:c>
      <x:c r="B25" s="355"/>
      <x:c r="C25" s="355"/>
      <x:c r="D25" s="355"/>
      <x:c r="E25" s="355"/>
      <x:c r="F25" s="355"/>
    </x:row>
    <x:row r="26" ht="15" customHeight="1">
      <x:c r="A26" s="137" t="s">
        <x:v>47</x:v>
      </x:c>
      <x:c r="B26" s="138" t="s">
        <x:v>48</x:v>
      </x:c>
      <x:c r="C26" s="138" t="s">
        <x:v>49</x:v>
      </x:c>
      <x:c r="D26" s="138" t="s">
        <x:v>23</x:v>
      </x:c>
      <x:c r="E26" s="138" t="s">
        <x:v>50</x:v>
      </x:c>
      <x:c r="F26" s="139" t="s">
        <x:v>25</x:v>
      </x:c>
    </x:row>
    <x:row r="27" ht="42" customHeight="1">
      <x:c r="A27" s="259">
        <x:v>1</x:v>
      </x:c>
      <x:c r="B27" s="260" t="s">
        <x:v>51</x:v>
      </x:c>
      <x:c r="C27" s="260" t="s">
        <x:v>52</x:v>
      </x:c>
      <x:c r="D27" s="261" t="s">
        <x:v>53</x:v>
      </x:c>
      <x:c r="E27" s="260" t="s">
        <x:v>27</x:v>
      </x:c>
      <x:c r="F27" s="262" t="s">
        <x:v>54</x:v>
      </x:c>
    </x:row>
    <x:row r="28" ht="42" customHeight="1">
      <x:c r="A28" s="263">
        <x:v>2</x:v>
      </x:c>
      <x:c r="B28" s="135" t="s">
        <x:v>55</x:v>
      </x:c>
      <x:c r="C28" s="135" t="s">
        <x:v>56</x:v>
      </x:c>
      <x:c r="D28" s="151" t="s">
        <x:v>53</x:v>
      </x:c>
      <x:c r="E28" s="135" t="s">
        <x:v>57</x:v>
      </x:c>
      <x:c r="F28" s="264" t="s">
        <x:v>58</x:v>
      </x:c>
    </x:row>
    <x:row r="29" ht="42" customHeight="1">
      <x:c r="A29" s="263">
        <x:v>3</x:v>
      </x:c>
      <x:c r="B29" s="135" t="s">
        <x:v>59</x:v>
      </x:c>
      <x:c r="C29" s="135" t="s">
        <x:v>60</x:v>
      </x:c>
      <x:c r="D29" s="151" t="s">
        <x:v>53</x:v>
      </x:c>
      <x:c r="E29" s="135" t="s">
        <x:v>61</x:v>
      </x:c>
      <x:c r="F29" s="264" t="s">
        <x:v>62</x:v>
      </x:c>
    </x:row>
    <x:row r="30" ht="42" customHeight="1">
      <x:c r="A30" s="263">
        <x:v>4</x:v>
      </x:c>
      <x:c r="B30" s="135" t="s">
        <x:v>63</x:v>
      </x:c>
      <x:c r="C30" s="135" t="s">
        <x:v>64</x:v>
      </x:c>
      <x:c r="D30" s="151" t="s">
        <x:v>53</x:v>
      </x:c>
      <x:c r="E30" s="135" t="s">
        <x:v>65</x:v>
      </x:c>
      <x:c r="F30" s="264" t="s">
        <x:v>66</x:v>
      </x:c>
    </x:row>
    <x:row r="31" ht="42" customHeight="1">
      <x:c r="A31" s="263">
        <x:v>5</x:v>
      </x:c>
      <x:c r="B31" s="135" t="s">
        <x:v>67</x:v>
      </x:c>
      <x:c r="C31" s="135" t="s">
        <x:v>68</x:v>
      </x:c>
      <x:c r="D31" s="151" t="s">
        <x:v>53</x:v>
      </x:c>
      <x:c r="E31" s="135" t="s">
        <x:v>69</x:v>
      </x:c>
      <x:c r="F31" s="264" t="s">
        <x:v>70</x:v>
      </x:c>
    </x:row>
    <x:row r="32" ht="34" customHeight="1">
      <x:c r="A32" s="263">
        <x:v>6</x:v>
      </x:c>
      <x:c r="B32" s="135" t="s">
        <x:v>71</x:v>
      </x:c>
      <x:c r="C32" s="135" t="s">
        <x:v>72</x:v>
      </x:c>
      <x:c r="D32" s="151" t="s">
        <x:v>53</x:v>
      </x:c>
      <x:c r="E32" s="135" t="s">
        <x:v>73</x:v>
      </x:c>
      <x:c r="F32" s="264" t="s">
        <x:v>74</x:v>
      </x:c>
    </x:row>
    <x:row r="33" ht="34" customHeight="1">
      <x:c r="A33" s="263">
        <x:v>7</x:v>
      </x:c>
      <x:c r="B33" s="135" t="s">
        <x:v>75</x:v>
      </x:c>
      <x:c r="C33" s="135" t="s">
        <x:v>76</x:v>
      </x:c>
      <x:c r="D33" s="151" t="s">
        <x:v>53</x:v>
      </x:c>
      <x:c r="E33" s="135" t="s">
        <x:v>41</x:v>
      </x:c>
      <x:c r="F33" s="264" t="s">
        <x:v>77</x:v>
      </x:c>
    </x:row>
    <x:row r="34" ht="34" customHeight="1">
      <x:c r="A34" s="263">
        <x:v>8</x:v>
      </x:c>
      <x:c r="B34" s="135" t="s">
        <x:v>78</x:v>
      </x:c>
      <x:c r="C34" s="135" t="s">
        <x:v>79</x:v>
      </x:c>
      <x:c r="D34" s="151" t="s">
        <x:v>80</x:v>
      </x:c>
      <x:c r="E34" s="135" t="s">
        <x:v>44</x:v>
      </x:c>
      <x:c r="F34" s="264" t="s">
        <x:v>81</x:v>
      </x:c>
    </x:row>
    <x:row r="35" ht="34" customHeight="1">
      <x:c r="A35" s="265">
        <x:v>9</x:v>
      </x:c>
      <x:c r="B35" s="266" t="s">
        <x:v>82</x:v>
      </x:c>
      <x:c r="C35" s="266" t="s">
        <x:v>83</x:v>
      </x:c>
      <x:c r="D35" s="267" t="s">
        <x:v>80</x:v>
      </x:c>
      <x:c r="E35" s="266" t="s">
        <x:v>84</x:v>
      </x:c>
      <x:c r="F35" s="268" t="s">
        <x:v>85</x:v>
      </x:c>
    </x:row>
    <x:row r="36" ht="14.25" customHeight="1">
      <x:c r="A36" s="135"/>
      <x:c r="B36" s="135"/>
      <x:c r="C36" s="135"/>
      <x:c r="D36" s="135"/>
      <x:c r="E36" s="135"/>
      <x:c r="F36" s="135"/>
    </x:row>
    <x:row r="37" ht="24" customHeight="1">
      <x:c r="A37" s="355" t="s">
        <x:v>86</x:v>
      </x:c>
      <x:c r="B37" s="355"/>
      <x:c r="C37" s="355"/>
      <x:c r="D37" s="355"/>
      <x:c r="E37" s="355"/>
      <x:c r="F37" s="355"/>
    </x:row>
    <x:row r="38" ht="15" customHeight="1">
      <x:c r="A38" s="137" t="s">
        <x:v>87</x:v>
      </x:c>
      <x:c r="B38" s="138" t="s">
        <x:v>88</x:v>
      </x:c>
      <x:c r="C38" s="138" t="s">
        <x:v>89</x:v>
      </x:c>
      <x:c r="D38" s="138" t="s">
        <x:v>23</x:v>
      </x:c>
      <x:c r="E38" s="138" t="s">
        <x:v>24</x:v>
      </x:c>
      <x:c r="F38" s="139" t="s">
        <x:v>25</x:v>
      </x:c>
    </x:row>
    <x:row r="39" ht="42" customHeight="1">
      <x:c r="A39" s="363" t="s">
        <x:v>90</x:v>
      </x:c>
      <x:c r="B39" s="260" t="str">
        <x:f>COUNTA('01_Lab_Catalog'!A5:A16)&amp;"/12"</x:f>
        <x:v>12/12</x:v>
      </x:c>
      <x:c r="C39" s="260" t="s">
        <x:v>91</x:v>
      </x:c>
      <x:c r="D39" s="260" t="str">
        <x:f>IF(B39="12/12","ĐẠT","CHƯA ĐẠT")</x:f>
        <x:v>ĐẠT</x:v>
      </x:c>
      <x:c r="E39" s="260" t="s">
        <x:v>27</x:v>
      </x:c>
      <x:c r="F39" s="262" t="s">
        <x:v>92</x:v>
      </x:c>
    </x:row>
    <x:row r="40" ht="34" customHeight="1">
      <x:c r="A40" s="364" t="s">
        <x:v>93</x:v>
      </x:c>
      <x:c r="B40" s="135" t="s">
        <x:v>94</x:v>
      </x:c>
      <x:c r="C40" s="135" t="s">
        <x:v>94</x:v>
      </x:c>
      <x:c r="D40" s="135" t="s">
        <x:v>95</x:v>
      </x:c>
      <x:c r="E40" s="135" t="s">
        <x:v>27</x:v>
      </x:c>
      <x:c r="F40" s="264" t="s">
        <x:v>96</x:v>
      </x:c>
    </x:row>
    <x:row r="41" ht="34" customHeight="1">
      <x:c r="A41" s="364" t="s">
        <x:v>97</x:v>
      </x:c>
      <x:c r="B41" s="135" t="str">
        <x:f>COUNTIF('05_Artifact_Matrix'!E5:E16,"Y")&amp;"/12"</x:f>
        <x:v>12/12</x:v>
      </x:c>
      <x:c r="C41" s="135" t="s">
        <x:v>91</x:v>
      </x:c>
      <x:c r="D41" s="135" t="str">
        <x:f>IF(B41="12/12","ĐẠT","CHƯA ĐẠT")</x:f>
        <x:v>ĐẠT</x:v>
      </x:c>
      <x:c r="E41" s="135" t="s">
        <x:v>35</x:v>
      </x:c>
      <x:c r="F41" s="264" t="s">
        <x:v>98</x:v>
      </x:c>
    </x:row>
    <x:row r="42" ht="34" customHeight="1">
      <x:c r="A42" s="364" t="s">
        <x:v>99</x:v>
      </x:c>
      <x:c r="B42" s="135" t="str">
        <x:f>COUNTA('02_Fault_Manifest'!A5:A16)&amp;"/12"</x:f>
        <x:v>12/12</x:v>
      </x:c>
      <x:c r="C42" s="135" t="s">
        <x:v>91</x:v>
      </x:c>
      <x:c r="D42" s="135" t="str">
        <x:f>IF(B42="12/12","ĐẠT","CHƯA ĐẠT")</x:f>
        <x:v>ĐẠT</x:v>
      </x:c>
      <x:c r="E42" s="135" t="s">
        <x:v>38</x:v>
      </x:c>
      <x:c r="F42" s="264" t="s">
        <x:v>100</x:v>
      </x:c>
    </x:row>
    <x:row r="43" ht="34" customHeight="1">
      <x:c r="A43" s="364" t="s">
        <x:v>101</x:v>
      </x:c>
      <x:c r="B43" s="135" t="str">
        <x:f>COUNTIF('07_Reset_Verification'!G5:G16,"PASS")&amp;"/12"</x:f>
        <x:v>12/12</x:v>
      </x:c>
      <x:c r="C43" s="135" t="s">
        <x:v>102</x:v>
      </x:c>
      <x:c r="D43" s="135" t="str">
        <x:f>IF(B43="12/12","ĐẠT","CHƯA ĐẠT")</x:f>
        <x:v>ĐẠT</x:v>
      </x:c>
      <x:c r="E43" s="135" t="s">
        <x:v>41</x:v>
      </x:c>
      <x:c r="F43" s="264" t="s">
        <x:v>103</x:v>
      </x:c>
    </x:row>
    <x:row r="44" ht="34" customHeight="1">
      <x:c r="A44" s="364" t="s">
        <x:v>104</x:v>
      </x:c>
      <x:c r="B44" s="135" t="s">
        <x:v>91</x:v>
      </x:c>
      <x:c r="C44" s="135" t="s">
        <x:v>91</x:v>
      </x:c>
      <x:c r="D44" s="135" t="s">
        <x:v>95</x:v>
      </x:c>
      <x:c r="E44" s="135" t="s">
        <x:v>105</x:v>
      </x:c>
      <x:c r="F44" s="264" t="s">
        <x:v>106</x:v>
      </x:c>
    </x:row>
    <x:row r="45" ht="34" customHeight="1">
      <x:c r="A45" s="365" t="s">
        <x:v>107</x:v>
      </x:c>
      <x:c r="B45" s="266" t="str">
        <x:f>COUNTIF('08_AI_Worklog'!C14:C18,"Y")&amp;"/5"</x:f>
        <x:v>1/5</x:v>
      </x:c>
      <x:c r="C45" s="266" t="s">
        <x:v>108</x:v>
      </x:c>
      <x:c r="D45" s="266" t="str">
        <x:f>IF(B45="5/5","ĐẠT","CHƯA ĐẠT")</x:f>
        <x:v>CHƯA ĐẠT</x:v>
      </x:c>
      <x:c r="E45" s="266" t="s">
        <x:v>84</x:v>
      </x:c>
      <x:c r="F45" s="268" t="s">
        <x:v>109</x:v>
      </x:c>
    </x:row>
  </x:sheetData>
  <x:mergeCells>
    <x:mergeCell ref="A37:F37"/>
    <x:mergeCell ref="A4:F4"/>
    <x:mergeCell ref="A14:F14"/>
    <x:mergeCell ref="A25:F25"/>
    <x:mergeCell ref="A1:F1"/>
    <x:mergeCell ref="A2:F2"/>
  </x:mergeCells>
  <x:conditionalFormatting sqref="D16:D23">
    <x:cfRule type="expression" dxfId="7" priority="2">
      <x:formula>D16="ĐẠT"</x:formula>
    </x:cfRule>
    <x:cfRule type="expression" dxfId="6" priority="3">
      <x:formula>D16="CHƯA ĐẠT"</x:formula>
    </x:cfRule>
  </x:conditionalFormatting>
  <x:conditionalFormatting sqref="D16:D24">
    <x:cfRule type="expression" dxfId="8" priority="6">
      <x:formula>OR(ISNUMBER(SEARCH("PASS",D16)),ISNUMBER(SEARCH("ĐẠT",D16)),ISNUMBER(SEARCH("DONE",D16)),ISNUMBER(SEARCH("Y",D16)))</x:formula>
    </x:cfRule>
    <x:cfRule type="expression" dxfId="9" priority="7">
      <x:formula>OR(ISNUMBER(SEARCH("BLOCKED",D16)),ISNUMBER(SEARCH("NO-GO",D16)),ISNUMBER(SEARCH("CHƯA",D16)),ISNUMBER(SEARCH("N",D16)))</x:formula>
    </x:cfRule>
    <x:cfRule type="expression" dxfId="10" priority="8">
      <x:formula>OR(ISNUMBER(SEARCH("PHẦN",D16)),ISNUMBER(SEARCH("PROGRESS",D16)),ISNUMBER(SEARCH("CANDIDATE",D16)),ISNUMBER(SEARCH("ỨNG VIÊN",D16)))</x:formula>
    </x:cfRule>
  </x:conditionalFormatting>
  <x:conditionalFormatting sqref="D27:D35">
    <x:cfRule type="expression" dxfId="11" priority="9">
      <x:formula>OR(ISNUMBER(SEARCH("PASS",D27)),ISNUMBER(SEARCH("ĐẠT",D27)),ISNUMBER(SEARCH("DONE",D27)),ISNUMBER(SEARCH("Y",D27)))</x:formula>
    </x:cfRule>
    <x:cfRule type="expression" dxfId="12" priority="10">
      <x:formula>OR(ISNUMBER(SEARCH("BLOCKED",D27)),ISNUMBER(SEARCH("NO-GO",D27)),ISNUMBER(SEARCH("CHƯA",D27)),ISNUMBER(SEARCH("N",D27)))</x:formula>
    </x:cfRule>
    <x:cfRule type="expression" dxfId="13" priority="11">
      <x:formula>OR(ISNUMBER(SEARCH("PHẦN",D27)),ISNUMBER(SEARCH("PROGRESS",D27)),ISNUMBER(SEARCH("CANDIDATE",D27)),ISNUMBER(SEARCH("ỨNG VIÊN",D27)))</x:formula>
    </x:cfRule>
  </x:conditionalFormatting>
  <x:conditionalFormatting sqref="D39:D45">
    <x:cfRule type="expression" dxfId="14" priority="12">
      <x:formula>OR(ISNUMBER(SEARCH("PASS",D39)),ISNUMBER(SEARCH("ĐẠT",D39)),ISNUMBER(SEARCH("DONE",D39)),ISNUMBER(SEARCH("Y",D39)))</x:formula>
    </x:cfRule>
    <x:cfRule type="expression" dxfId="15" priority="13">
      <x:formula>OR(ISNUMBER(SEARCH("BLOCKED",D39)),ISNUMBER(SEARCH("NO-GO",D39)),ISNUMBER(SEARCH("CHƯA",D39)),ISNUMBER(SEARCH("N",D39)))</x:formula>
    </x:cfRule>
    <x:cfRule type="expression" dxfId="16" priority="14">
      <x:formula>OR(ISNUMBER(SEARCH("PHẦN",D39)),ISNUMBER(SEARCH("PROGRESS",D39)),ISNUMBER(SEARCH("CANDIDATE",D39)),ISNUMBER(SEARCH("ỨNG VIÊN",D39)))</x:formula>
    </x:cfRule>
  </x:conditionalFormatting>
  <x:dataValidations count="1">
    <x:dataValidation type="list" sqref="D27:D35">
      <x:formula1>"PLANNED,IN PROGRESS,DONE,BLOCKED,NOT RUN"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14" hidden="0" customWidth="1"/>
    <x:col min="3" max="3" width="18" hidden="0" customWidth="1"/>
    <x:col min="4" max="4" width="36" hidden="0" customWidth="1"/>
    <x:col min="5" max="5" width="42" hidden="0" customWidth="1"/>
    <x:col min="6" max="6" width="32" hidden="0" customWidth="1"/>
    <x:col min="7" max="7" width="26" hidden="0" customWidth="1"/>
    <x:col min="8" max="8" width="18" hidden="0" customWidth="1"/>
    <x:col min="9" max="9" width="16" hidden="0" customWidth="1"/>
    <x:col min="10" max="10" width="22" hidden="0" customWidth="1"/>
    <x:col min="11" max="11" width="28" hidden="0" customWidth="1"/>
  </x:cols>
  <x:sheetData>
    <x:row r="1" ht="28" customHeight="1">
      <x:c r="A1" s="181" t="s">
        <x:v>110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</x:row>
    <x:row r="2" ht="30" customHeight="1">
      <x:c r="A2" s="187" t="s">
        <x:v>111</x:v>
      </x:c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</x:row>
    <x:row r="4" ht="32" customHeight="1">
      <x:c r="A4" s="253" t="s">
        <x:v>112</x:v>
      </x:c>
      <x:c r="B4" s="254" t="s">
        <x:v>113</x:v>
      </x:c>
      <x:c r="C4" s="254" t="s">
        <x:v>114</x:v>
      </x:c>
      <x:c r="D4" s="254" t="s">
        <x:v>22</x:v>
      </x:c>
      <x:c r="E4" s="254" t="s">
        <x:v>115</x:v>
      </x:c>
      <x:c r="F4" s="254" t="s">
        <x:v>116</x:v>
      </x:c>
      <x:c r="G4" s="254" t="s">
        <x:v>117</x:v>
      </x:c>
      <x:c r="H4" s="254" t="s">
        <x:v>118</x:v>
      </x:c>
      <x:c r="I4" s="254" t="s">
        <x:v>119</x:v>
      </x:c>
      <x:c r="J4" s="254" t="s">
        <x:v>23</x:v>
      </x:c>
      <x:c r="K4" s="255" t="s">
        <x:v>120</x:v>
      </x:c>
    </x:row>
    <x:row r="5" ht="105" customHeight="1">
      <x:c r="A5" s="259" t="s">
        <x:v>121</x:v>
      </x:c>
      <x:c r="B5" s="260" t="s">
        <x:v>122</x:v>
      </x:c>
      <x:c r="C5" s="260" t="s">
        <x:v>123</x:v>
      </x:c>
      <x:c r="D5" s="260" t="s">
        <x:v>124</x:v>
      </x:c>
      <x:c r="E5" s="260" t="s">
        <x:v>125</x:v>
      </x:c>
      <x:c r="F5" s="260" t="s">
        <x:v>126</x:v>
      </x:c>
      <x:c r="G5" s="260" t="s">
        <x:v>127</x:v>
      </x:c>
      <x:c r="H5" s="260" t="s">
        <x:v>128</x:v>
      </x:c>
      <x:c r="I5" s="260" t="s">
        <x:v>129</x:v>
      </x:c>
      <x:c r="J5" s="261" t="s">
        <x:v>130</x:v>
      </x:c>
      <x:c r="K5" s="262" t="s">
        <x:v>131</x:v>
      </x:c>
    </x:row>
    <x:row r="6" ht="105" customHeight="1">
      <x:c r="A6" s="263" t="s">
        <x:v>132</x:v>
      </x:c>
      <x:c r="B6" s="135" t="s">
        <x:v>122</x:v>
      </x:c>
      <x:c r="C6" s="135" t="s">
        <x:v>133</x:v>
      </x:c>
      <x:c r="D6" s="135" t="s">
        <x:v>134</x:v>
      </x:c>
      <x:c r="E6" s="135" t="s">
        <x:v>125</x:v>
      </x:c>
      <x:c r="F6" s="135" t="s">
        <x:v>135</x:v>
      </x:c>
      <x:c r="G6" s="135" t="s">
        <x:v>136</x:v>
      </x:c>
      <x:c r="H6" s="135" t="s">
        <x:v>128</x:v>
      </x:c>
      <x:c r="I6" s="135" t="s">
        <x:v>129</x:v>
      </x:c>
      <x:c r="J6" s="151" t="s">
        <x:v>137</x:v>
      </x:c>
      <x:c r="K6" s="264" t="s">
        <x:v>138</x:v>
      </x:c>
    </x:row>
    <x:row r="7" ht="105" customHeight="1">
      <x:c r="A7" s="263" t="s">
        <x:v>139</x:v>
      </x:c>
      <x:c r="B7" s="135" t="s">
        <x:v>122</x:v>
      </x:c>
      <x:c r="C7" s="135" t="s">
        <x:v>140</x:v>
      </x:c>
      <x:c r="D7" s="135" t="s">
        <x:v>141</x:v>
      </x:c>
      <x:c r="E7" s="135" t="s">
        <x:v>125</x:v>
      </x:c>
      <x:c r="F7" s="135" t="s">
        <x:v>142</x:v>
      </x:c>
      <x:c r="G7" s="135" t="s">
        <x:v>143</x:v>
      </x:c>
      <x:c r="H7" s="135" t="s">
        <x:v>128</x:v>
      </x:c>
      <x:c r="I7" s="135" t="s">
        <x:v>129</x:v>
      </x:c>
      <x:c r="J7" s="151" t="s">
        <x:v>144</x:v>
      </x:c>
      <x:c r="K7" s="264" t="s">
        <x:v>145</x:v>
      </x:c>
    </x:row>
    <x:row r="8" ht="105" customHeight="1">
      <x:c r="A8" s="263" t="s">
        <x:v>146</x:v>
      </x:c>
      <x:c r="B8" s="135" t="s">
        <x:v>147</x:v>
      </x:c>
      <x:c r="C8" s="135" t="s">
        <x:v>148</x:v>
      </x:c>
      <x:c r="D8" s="135" t="s">
        <x:v>149</x:v>
      </x:c>
      <x:c r="E8" s="135" t="s">
        <x:v>150</x:v>
      </x:c>
      <x:c r="F8" s="135" t="s">
        <x:v>151</x:v>
      </x:c>
      <x:c r="G8" s="135" t="s">
        <x:v>152</x:v>
      </x:c>
      <x:c r="H8" s="135" t="s">
        <x:v>153</x:v>
      </x:c>
      <x:c r="I8" s="135" t="s">
        <x:v>129</x:v>
      </x:c>
      <x:c r="J8" s="151" t="s">
        <x:v>154</x:v>
      </x:c>
      <x:c r="K8" s="264" t="s">
        <x:v>155</x:v>
      </x:c>
    </x:row>
    <x:row r="9" ht="105" customHeight="1">
      <x:c r="A9" s="263" t="s">
        <x:v>156</x:v>
      </x:c>
      <x:c r="B9" s="135" t="s">
        <x:v>147</x:v>
      </x:c>
      <x:c r="C9" s="135" t="s">
        <x:v>157</x:v>
      </x:c>
      <x:c r="D9" s="135" t="s">
        <x:v>158</x:v>
      </x:c>
      <x:c r="E9" s="135" t="s">
        <x:v>150</x:v>
      </x:c>
      <x:c r="F9" s="135" t="s">
        <x:v>159</x:v>
      </x:c>
      <x:c r="G9" s="135" t="s">
        <x:v>160</x:v>
      </x:c>
      <x:c r="H9" s="135" t="s">
        <x:v>153</x:v>
      </x:c>
      <x:c r="I9" s="135" t="s">
        <x:v>161</x:v>
      </x:c>
      <x:c r="J9" s="151" t="s">
        <x:v>162</x:v>
      </x:c>
      <x:c r="K9" s="264" t="s">
        <x:v>163</x:v>
      </x:c>
    </x:row>
    <x:row r="10" ht="105" customHeight="1">
      <x:c r="A10" s="263" t="s">
        <x:v>164</x:v>
      </x:c>
      <x:c r="B10" s="135" t="s">
        <x:v>147</x:v>
      </x:c>
      <x:c r="C10" s="135" t="s">
        <x:v>165</x:v>
      </x:c>
      <x:c r="D10" s="135" t="s">
        <x:v>166</x:v>
      </x:c>
      <x:c r="E10" s="135" t="s">
        <x:v>150</x:v>
      </x:c>
      <x:c r="F10" s="135" t="s">
        <x:v>167</x:v>
      </x:c>
      <x:c r="G10" s="135" t="s">
        <x:v>168</x:v>
      </x:c>
      <x:c r="H10" s="135" t="s">
        <x:v>153</x:v>
      </x:c>
      <x:c r="I10" s="135" t="s">
        <x:v>129</x:v>
      </x:c>
      <x:c r="J10" s="151" t="s">
        <x:v>137</x:v>
      </x:c>
      <x:c r="K10" s="264" t="s">
        <x:v>169</x:v>
      </x:c>
    </x:row>
    <x:row r="11" ht="105" customHeight="1">
      <x:c r="A11" s="263" t="s">
        <x:v>170</x:v>
      </x:c>
      <x:c r="B11" s="135" t="s">
        <x:v>171</x:v>
      </x:c>
      <x:c r="C11" s="135" t="s">
        <x:v>172</x:v>
      </x:c>
      <x:c r="D11" s="135" t="s">
        <x:v>173</x:v>
      </x:c>
      <x:c r="E11" s="135" t="s">
        <x:v>174</x:v>
      </x:c>
      <x:c r="F11" s="135" t="s">
        <x:v>175</x:v>
      </x:c>
      <x:c r="G11" s="135" t="s">
        <x:v>176</x:v>
      </x:c>
      <x:c r="H11" s="135" t="s">
        <x:v>153</x:v>
      </x:c>
      <x:c r="I11" s="135" t="s">
        <x:v>129</x:v>
      </x:c>
      <x:c r="J11" s="151" t="s">
        <x:v>137</x:v>
      </x:c>
      <x:c r="K11" s="264" t="s">
        <x:v>138</x:v>
      </x:c>
    </x:row>
    <x:row r="12" ht="105" customHeight="1">
      <x:c r="A12" s="263" t="s">
        <x:v>177</x:v>
      </x:c>
      <x:c r="B12" s="135" t="s">
        <x:v>171</x:v>
      </x:c>
      <x:c r="C12" s="135" t="s">
        <x:v>178</x:v>
      </x:c>
      <x:c r="D12" s="135" t="s">
        <x:v>179</x:v>
      </x:c>
      <x:c r="E12" s="135" t="s">
        <x:v>180</x:v>
      </x:c>
      <x:c r="F12" s="135" t="s">
        <x:v>181</x:v>
      </x:c>
      <x:c r="G12" s="135" t="s">
        <x:v>182</x:v>
      </x:c>
      <x:c r="H12" s="135" t="s">
        <x:v>153</x:v>
      </x:c>
      <x:c r="I12" s="135" t="s">
        <x:v>129</x:v>
      </x:c>
      <x:c r="J12" s="151" t="s">
        <x:v>183</x:v>
      </x:c>
      <x:c r="K12" s="264" t="s">
        <x:v>131</x:v>
      </x:c>
    </x:row>
    <x:row r="13" ht="105" customHeight="1">
      <x:c r="A13" s="263" t="s">
        <x:v>184</x:v>
      </x:c>
      <x:c r="B13" s="135" t="s">
        <x:v>171</x:v>
      </x:c>
      <x:c r="C13" s="135" t="s">
        <x:v>185</x:v>
      </x:c>
      <x:c r="D13" s="135" t="s">
        <x:v>186</x:v>
      </x:c>
      <x:c r="E13" s="135" t="s">
        <x:v>187</x:v>
      </x:c>
      <x:c r="F13" s="135" t="s">
        <x:v>188</x:v>
      </x:c>
      <x:c r="G13" s="135" t="s">
        <x:v>189</x:v>
      </x:c>
      <x:c r="H13" s="135" t="s">
        <x:v>153</x:v>
      </x:c>
      <x:c r="I13" s="135" t="s">
        <x:v>190</x:v>
      </x:c>
      <x:c r="J13" s="151" t="s">
        <x:v>183</x:v>
      </x:c>
      <x:c r="K13" s="264" t="s">
        <x:v>191</x:v>
      </x:c>
    </x:row>
    <x:row r="14" ht="105" customHeight="1">
      <x:c r="A14" s="263" t="s">
        <x:v>192</x:v>
      </x:c>
      <x:c r="B14" s="135" t="s">
        <x:v>193</x:v>
      </x:c>
      <x:c r="C14" s="135" t="s">
        <x:v>194</x:v>
      </x:c>
      <x:c r="D14" s="135" t="s">
        <x:v>195</x:v>
      </x:c>
      <x:c r="E14" s="135"/>
      <x:c r="F14" s="135" t="s">
        <x:v>196</x:v>
      </x:c>
      <x:c r="G14" s="135" t="s">
        <x:v>197</x:v>
      </x:c>
      <x:c r="H14" s="135" t="s">
        <x:v>153</x:v>
      </x:c>
      <x:c r="I14" s="135" t="s">
        <x:v>161</x:v>
      </x:c>
      <x:c r="J14" s="151" t="s">
        <x:v>198</x:v>
      </x:c>
      <x:c r="K14" s="264" t="s">
        <x:v>131</x:v>
      </x:c>
    </x:row>
    <x:row r="15" ht="105" customHeight="1">
      <x:c r="A15" s="263" t="s">
        <x:v>199</x:v>
      </x:c>
      <x:c r="B15" s="135" t="s">
        <x:v>193</x:v>
      </x:c>
      <x:c r="C15" s="135" t="s">
        <x:v>200</x:v>
      </x:c>
      <x:c r="D15" s="135" t="s">
        <x:v>201</x:v>
      </x:c>
      <x:c r="E15" s="135"/>
      <x:c r="F15" s="135" t="s">
        <x:v>202</x:v>
      </x:c>
      <x:c r="G15" s="135" t="s">
        <x:v>203</x:v>
      </x:c>
      <x:c r="H15" s="135" t="s">
        <x:v>153</x:v>
      </x:c>
      <x:c r="I15" s="135" t="s">
        <x:v>161</x:v>
      </x:c>
      <x:c r="J15" s="151" t="s">
        <x:v>144</x:v>
      </x:c>
      <x:c r="K15" s="264" t="s">
        <x:v>138</x:v>
      </x:c>
    </x:row>
    <x:row r="16" ht="105" customHeight="1">
      <x:c r="A16" s="265" t="s">
        <x:v>204</x:v>
      </x:c>
      <x:c r="B16" s="266" t="s">
        <x:v>193</x:v>
      </x:c>
      <x:c r="C16" s="266" t="s">
        <x:v>205</x:v>
      </x:c>
      <x:c r="D16" s="266" t="s">
        <x:v>206</x:v>
      </x:c>
      <x:c r="E16" s="266"/>
      <x:c r="F16" s="266" t="s">
        <x:v>207</x:v>
      </x:c>
      <x:c r="G16" s="266" t="s">
        <x:v>208</x:v>
      </x:c>
      <x:c r="H16" s="266" t="s">
        <x:v>153</x:v>
      </x:c>
      <x:c r="I16" s="266" t="s">
        <x:v>209</x:v>
      </x:c>
      <x:c r="J16" s="267" t="s">
        <x:v>210</x:v>
      </x:c>
      <x:c r="K16" s="268" t="s">
        <x:v>138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K1"/>
    <x:mergeCell ref="A2:K2"/>
  </x:mergeCells>
  <x:conditionalFormatting sqref="J5:J16">
    <x:cfRule type="expression" dxfId="3" priority="2">
      <x:formula>J5="READY"</x:formula>
    </x:cfRule>
    <x:cfRule type="expression" dxfId="2" priority="3">
      <x:formula>J5="BLOCKED"</x:formula>
    </x:cfRule>
  </x:conditionalFormatting>
  <x:dataValidations count="2">
    <x:dataValidation type="list" sqref="B5:B16">
      <x:formula1>"Manual,API,Data,Automation"</x:formula1>
      <x:formula2>0</x:formula2>
    </x:dataValidation>
    <x:dataValidation type="list" sqref="J5:J16">
      <x:formula1>"PLANNED,IN PROGRESS,READY,BLOCKED"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3" hidden="0" customWidth="1"/>
    <x:col min="2" max="2" width="11" hidden="0" customWidth="1"/>
    <x:col min="3" max="3" width="15" hidden="0" customWidth="1"/>
    <x:col min="4" max="4" width="14" hidden="0" customWidth="1"/>
    <x:col min="5" max="5" width="36" hidden="0" customWidth="1"/>
    <x:col min="6" max="6" width="36" hidden="0" customWidth="1"/>
    <x:col min="7" max="7" width="38" hidden="0" customWidth="1"/>
    <x:col min="8" max="8" width="12" hidden="0" customWidth="1"/>
    <x:col min="9" max="9" width="22" hidden="0" customWidth="1"/>
    <x:col min="10" max="10" width="48" hidden="0" customWidth="1"/>
  </x:cols>
  <x:sheetData>
    <x:row r="1" ht="28" customHeight="1">
      <x:c r="A1" s="181" t="s">
        <x:v>211</x:v>
      </x:c>
      <x:c r="B1" s="181"/>
      <x:c r="C1" s="181"/>
      <x:c r="D1" s="181"/>
      <x:c r="E1" s="181"/>
      <x:c r="F1" s="181"/>
      <x:c r="G1" s="181"/>
      <x:c r="H1" s="181"/>
      <x:c r="I1" s="181"/>
      <x:c r="J1" s="181"/>
    </x:row>
    <x:row r="2" ht="30" customHeight="1">
      <x:c r="A2" s="187" t="s">
        <x:v>212</x:v>
      </x:c>
      <x:c r="B2" s="187"/>
      <x:c r="C2" s="187"/>
      <x:c r="D2" s="187"/>
      <x:c r="E2" s="187"/>
      <x:c r="F2" s="187"/>
      <x:c r="G2" s="187"/>
      <x:c r="H2" s="187"/>
      <x:c r="I2" s="187"/>
      <x:c r="J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  <x:c r="I3" s="135"/>
      <x:c r="J3" s="135"/>
    </x:row>
    <x:row r="4" ht="32" customHeight="1">
      <x:c r="A4" s="247" t="s">
        <x:v>213</x:v>
      </x:c>
      <x:c r="B4" s="248" t="s">
        <x:v>214</x:v>
      </x:c>
      <x:c r="C4" s="248" t="s">
        <x:v>215</x:v>
      </x:c>
      <x:c r="D4" s="248" t="s">
        <x:v>216</x:v>
      </x:c>
      <x:c r="E4" s="248" t="s">
        <x:v>217</x:v>
      </x:c>
      <x:c r="F4" s="248" t="s">
        <x:v>218</x:v>
      </x:c>
      <x:c r="G4" s="248" t="s">
        <x:v>219</x:v>
      </x:c>
      <x:c r="H4" s="248" t="s">
        <x:v>220</x:v>
      </x:c>
      <x:c r="I4" s="248" t="s">
        <x:v>23</x:v>
      </x:c>
      <x:c r="J4" s="249" t="s">
        <x:v>25</x:v>
      </x:c>
    </x:row>
    <x:row r="5" ht="42" hidden="0" customHeight="1">
      <x:c r="A5" s="259" t="s">
        <x:v>126</x:v>
      </x:c>
      <x:c r="B5" s="260" t="s">
        <x:v>121</x:v>
      </x:c>
      <x:c r="C5" s="260" t="s">
        <x:v>221</x:v>
      </x:c>
      <x:c r="D5" s="260" t="s">
        <x:v>122</x:v>
      </x:c>
      <x:c r="E5" s="260" t="s">
        <x:v>222</x:v>
      </x:c>
      <x:c r="F5" s="260" t="s">
        <x:v>223</x:v>
      </x:c>
      <x:c r="G5" s="260" t="s">
        <x:v>224</x:v>
      </x:c>
      <x:c r="H5" s="260" t="s">
        <x:v>225</x:v>
      </x:c>
      <x:c r="I5" s="261" t="s">
        <x:v>226</x:v>
      </x:c>
      <x:c r="J5" s="262" t="s">
        <x:v>227</x:v>
      </x:c>
    </x:row>
    <x:row r="6" ht="42" hidden="0" customHeight="1">
      <x:c r="A6" s="263" t="s">
        <x:v>135</x:v>
      </x:c>
      <x:c r="B6" s="135" t="s">
        <x:v>132</x:v>
      </x:c>
      <x:c r="C6" s="135" t="s">
        <x:v>221</x:v>
      </x:c>
      <x:c r="D6" s="135" t="s">
        <x:v>122</x:v>
      </x:c>
      <x:c r="E6" s="135" t="s">
        <x:v>228</x:v>
      </x:c>
      <x:c r="F6" s="135" t="s">
        <x:v>229</x:v>
      </x:c>
      <x:c r="G6" s="135" t="s">
        <x:v>230</x:v>
      </x:c>
      <x:c r="H6" s="135" t="s">
        <x:v>231</x:v>
      </x:c>
      <x:c r="I6" s="151" t="s">
        <x:v>226</x:v>
      </x:c>
      <x:c r="J6" s="264" t="s">
        <x:v>232</x:v>
      </x:c>
    </x:row>
    <x:row r="7" ht="42" hidden="0" customHeight="1">
      <x:c r="A7" s="263" t="s">
        <x:v>142</x:v>
      </x:c>
      <x:c r="B7" s="135" t="s">
        <x:v>139</x:v>
      </x:c>
      <x:c r="C7" s="135" t="s">
        <x:v>221</x:v>
      </x:c>
      <x:c r="D7" s="135" t="s">
        <x:v>122</x:v>
      </x:c>
      <x:c r="E7" s="135" t="s">
        <x:v>233</x:v>
      </x:c>
      <x:c r="F7" s="135" t="s">
        <x:v>234</x:v>
      </x:c>
      <x:c r="G7" s="135" t="s">
        <x:v>235</x:v>
      </x:c>
      <x:c r="H7" s="135" t="s">
        <x:v>225</x:v>
      </x:c>
      <x:c r="I7" s="151" t="s">
        <x:v>226</x:v>
      </x:c>
      <x:c r="J7" s="264" t="s">
        <x:v>236</x:v>
      </x:c>
    </x:row>
    <x:row r="8" ht="42" hidden="0" customHeight="1">
      <x:c r="A8" s="263" t="s">
        <x:v>151</x:v>
      </x:c>
      <x:c r="B8" s="135" t="s">
        <x:v>146</x:v>
      </x:c>
      <x:c r="C8" s="135" t="s">
        <x:v>221</x:v>
      </x:c>
      <x:c r="D8" s="135" t="s">
        <x:v>147</x:v>
      </x:c>
      <x:c r="E8" s="135" t="s">
        <x:v>237</x:v>
      </x:c>
      <x:c r="F8" s="135" t="s">
        <x:v>238</x:v>
      </x:c>
      <x:c r="G8" s="135" t="s">
        <x:v>239</x:v>
      </x:c>
      <x:c r="H8" s="135" t="s">
        <x:v>231</x:v>
      </x:c>
      <x:c r="I8" s="151" t="s">
        <x:v>226</x:v>
      </x:c>
      <x:c r="J8" s="264" t="s">
        <x:v>240</x:v>
      </x:c>
    </x:row>
    <x:row r="9" ht="42" hidden="0" customHeight="1">
      <x:c r="A9" s="263" t="s">
        <x:v>159</x:v>
      </x:c>
      <x:c r="B9" s="135" t="s">
        <x:v>156</x:v>
      </x:c>
      <x:c r="C9" s="135" t="s">
        <x:v>221</x:v>
      </x:c>
      <x:c r="D9" s="135" t="s">
        <x:v>147</x:v>
      </x:c>
      <x:c r="E9" s="135" t="s">
        <x:v>241</x:v>
      </x:c>
      <x:c r="F9" s="135" t="s">
        <x:v>242</x:v>
      </x:c>
      <x:c r="G9" s="135" t="s">
        <x:v>243</x:v>
      </x:c>
      <x:c r="H9" s="135" t="s">
        <x:v>231</x:v>
      </x:c>
      <x:c r="I9" s="151" t="s">
        <x:v>226</x:v>
      </x:c>
      <x:c r="J9" s="264" t="s">
        <x:v>244</x:v>
      </x:c>
    </x:row>
    <x:row r="10" ht="42" hidden="0" customHeight="1">
      <x:c r="A10" s="263" t="s">
        <x:v>167</x:v>
      </x:c>
      <x:c r="B10" s="135" t="s">
        <x:v>164</x:v>
      </x:c>
      <x:c r="C10" s="135" t="s">
        <x:v>221</x:v>
      </x:c>
      <x:c r="D10" s="135" t="s">
        <x:v>147</x:v>
      </x:c>
      <x:c r="E10" s="135" t="s">
        <x:v>245</x:v>
      </x:c>
      <x:c r="F10" s="135" t="s">
        <x:v>246</x:v>
      </x:c>
      <x:c r="G10" s="135" t="s">
        <x:v>247</x:v>
      </x:c>
      <x:c r="H10" s="135" t="s">
        <x:v>231</x:v>
      </x:c>
      <x:c r="I10" s="151" t="s">
        <x:v>226</x:v>
      </x:c>
      <x:c r="J10" s="264" t="s">
        <x:v>248</x:v>
      </x:c>
    </x:row>
    <x:row r="11" ht="42" hidden="0" customHeight="1">
      <x:c r="A11" s="263" t="s">
        <x:v>175</x:v>
      </x:c>
      <x:c r="B11" s="135" t="s">
        <x:v>170</x:v>
      </x:c>
      <x:c r="C11" s="135" t="s">
        <x:v>221</x:v>
      </x:c>
      <x:c r="D11" s="135" t="s">
        <x:v>171</x:v>
      </x:c>
      <x:c r="E11" s="135" t="s">
        <x:v>249</x:v>
      </x:c>
      <x:c r="F11" s="135" t="s">
        <x:v>250</x:v>
      </x:c>
      <x:c r="G11" s="135" t="s">
        <x:v>251</x:v>
      </x:c>
      <x:c r="H11" s="135" t="s">
        <x:v>225</x:v>
      </x:c>
      <x:c r="I11" s="151" t="s">
        <x:v>226</x:v>
      </x:c>
      <x:c r="J11" s="264" t="s">
        <x:v>252</x:v>
      </x:c>
    </x:row>
    <x:row r="12" ht="42" hidden="0" customHeight="1">
      <x:c r="A12" s="263" t="s">
        <x:v>181</x:v>
      </x:c>
      <x:c r="B12" s="135" t="s">
        <x:v>177</x:v>
      </x:c>
      <x:c r="C12" s="135" t="s">
        <x:v>221</x:v>
      </x:c>
      <x:c r="D12" s="135" t="s">
        <x:v>171</x:v>
      </x:c>
      <x:c r="E12" s="135" t="s">
        <x:v>253</x:v>
      </x:c>
      <x:c r="F12" s="135" t="s">
        <x:v>254</x:v>
      </x:c>
      <x:c r="G12" s="135" t="s">
        <x:v>255</x:v>
      </x:c>
      <x:c r="H12" s="135" t="s">
        <x:v>225</x:v>
      </x:c>
      <x:c r="I12" s="151" t="s">
        <x:v>226</x:v>
      </x:c>
      <x:c r="J12" s="264" t="s">
        <x:v>256</x:v>
      </x:c>
    </x:row>
    <x:row r="13" ht="42" hidden="0" customHeight="1">
      <x:c r="A13" s="263" t="s">
        <x:v>188</x:v>
      </x:c>
      <x:c r="B13" s="135" t="s">
        <x:v>184</x:v>
      </x:c>
      <x:c r="C13" s="135" t="s">
        <x:v>221</x:v>
      </x:c>
      <x:c r="D13" s="135" t="s">
        <x:v>171</x:v>
      </x:c>
      <x:c r="E13" s="135" t="s">
        <x:v>257</x:v>
      </x:c>
      <x:c r="F13" s="135" t="s">
        <x:v>258</x:v>
      </x:c>
      <x:c r="G13" s="135" t="s">
        <x:v>259</x:v>
      </x:c>
      <x:c r="H13" s="135" t="s">
        <x:v>231</x:v>
      </x:c>
      <x:c r="I13" s="151" t="s">
        <x:v>226</x:v>
      </x:c>
      <x:c r="J13" s="264" t="s">
        <x:v>260</x:v>
      </x:c>
    </x:row>
    <x:row r="14" ht="42" hidden="0" customHeight="1">
      <x:c r="A14" s="263" t="s">
        <x:v>196</x:v>
      </x:c>
      <x:c r="B14" s="135" t="s">
        <x:v>192</x:v>
      </x:c>
      <x:c r="C14" s="135" t="s">
        <x:v>221</x:v>
      </x:c>
      <x:c r="D14" s="135" t="s">
        <x:v>193</x:v>
      </x:c>
      <x:c r="E14" s="135" t="s">
        <x:v>261</x:v>
      </x:c>
      <x:c r="F14" s="135" t="s">
        <x:v>262</x:v>
      </x:c>
      <x:c r="G14" s="135" t="s">
        <x:v>263</x:v>
      </x:c>
      <x:c r="H14" s="135" t="s">
        <x:v>225</x:v>
      </x:c>
      <x:c r="I14" s="151" t="s">
        <x:v>226</x:v>
      </x:c>
      <x:c r="J14" s="264" t="s">
        <x:v>264</x:v>
      </x:c>
    </x:row>
    <x:row r="15" ht="42" hidden="0" customHeight="1">
      <x:c r="A15" s="263" t="s">
        <x:v>202</x:v>
      </x:c>
      <x:c r="B15" s="135" t="s">
        <x:v>199</x:v>
      </x:c>
      <x:c r="C15" s="135" t="s">
        <x:v>221</x:v>
      </x:c>
      <x:c r="D15" s="135" t="s">
        <x:v>193</x:v>
      </x:c>
      <x:c r="E15" s="135" t="s">
        <x:v>265</x:v>
      </x:c>
      <x:c r="F15" s="135" t="s">
        <x:v>266</x:v>
      </x:c>
      <x:c r="G15" s="135" t="s">
        <x:v>267</x:v>
      </x:c>
      <x:c r="H15" s="135" t="s">
        <x:v>231</x:v>
      </x:c>
      <x:c r="I15" s="151" t="s">
        <x:v>226</x:v>
      </x:c>
      <x:c r="J15" s="264" t="s">
        <x:v>268</x:v>
      </x:c>
    </x:row>
    <x:row r="16" ht="42" hidden="0" customHeight="1">
      <x:c r="A16" s="265" t="s">
        <x:v>207</x:v>
      </x:c>
      <x:c r="B16" s="266" t="s">
        <x:v>204</x:v>
      </x:c>
      <x:c r="C16" s="266" t="s">
        <x:v>221</x:v>
      </x:c>
      <x:c r="D16" s="266" t="s">
        <x:v>193</x:v>
      </x:c>
      <x:c r="E16" s="266" t="s">
        <x:v>269</x:v>
      </x:c>
      <x:c r="F16" s="266" t="s">
        <x:v>270</x:v>
      </x:c>
      <x:c r="G16" s="266" t="s">
        <x:v>271</x:v>
      </x:c>
      <x:c r="H16" s="266" t="s">
        <x:v>225</x:v>
      </x:c>
      <x:c r="I16" s="267" t="s">
        <x:v>226</x:v>
      </x:c>
      <x:c r="J16" s="268" t="s">
        <x:v>272</x:v>
      </x:c>
    </x:row>
    <x:row r="17" ht="42" hidden="0" customHeight="1">
      <x:c r="A17" s="150"/>
      <x:c r="B17" s="135"/>
      <x:c r="C17" s="135"/>
      <x:c r="D17" s="135"/>
      <x:c r="E17" s="135"/>
      <x:c r="F17" s="135"/>
      <x:c r="G17" s="135"/>
      <x:c r="H17" s="135"/>
      <x:c r="I17" s="151"/>
      <x:c r="J17" s="144"/>
    </x:row>
    <x:row r="18" ht="42" hidden="0" customHeight="1">
      <x:c r="A18" s="343" t="s">
        <x:v>273</x:v>
      </x:c>
      <x:c r="B18" s="344"/>
      <x:c r="C18" s="344"/>
      <x:c r="D18" s="344"/>
      <x:c r="E18" s="344"/>
      <x:c r="F18" s="344"/>
      <x:c r="G18" s="344"/>
      <x:c r="H18" s="344"/>
      <x:c r="I18" s="345"/>
      <x:c r="J18" s="346"/>
    </x:row>
    <x:row r="19" ht="42" hidden="0" customHeight="1">
      <x:c r="A19" s="150"/>
      <x:c r="B19" s="135"/>
      <x:c r="C19" s="135"/>
      <x:c r="D19" s="135"/>
      <x:c r="E19" s="135"/>
      <x:c r="F19" s="135"/>
      <x:c r="G19" s="135"/>
      <x:c r="H19" s="135"/>
      <x:c r="I19" s="151"/>
      <x:c r="J19" s="144"/>
    </x:row>
    <x:row r="20" ht="42" hidden="0" customHeight="1">
      <x:c r="A20" s="329" t="s">
        <x:v>213</x:v>
      </x:c>
      <x:c r="B20" s="307" t="s">
        <x:v>214</x:v>
      </x:c>
      <x:c r="C20" s="307" t="s">
        <x:v>215</x:v>
      </x:c>
      <x:c r="D20" s="307" t="s">
        <x:v>216</x:v>
      </x:c>
      <x:c r="E20" s="307" t="s">
        <x:v>217</x:v>
      </x:c>
      <x:c r="F20" s="307" t="s">
        <x:v>218</x:v>
      </x:c>
      <x:c r="G20" s="307" t="s">
        <x:v>219</x:v>
      </x:c>
      <x:c r="H20" s="307" t="s">
        <x:v>220</x:v>
      </x:c>
      <x:c r="I20" s="330" t="s">
        <x:v>23</x:v>
      </x:c>
      <x:c r="J20" s="331" t="s">
        <x:v>25</x:v>
      </x:c>
    </x:row>
    <x:row r="21" ht="42" hidden="0" customHeight="1">
      <x:c r="A21" s="259" t="s">
        <x:v>274</x:v>
      </x:c>
      <x:c r="B21" s="260" t="s">
        <x:v>170</x:v>
      </x:c>
      <x:c r="C21" s="260" t="s">
        <x:v>275</x:v>
      </x:c>
      <x:c r="D21" s="260" t="s">
        <x:v>171</x:v>
      </x:c>
      <x:c r="E21" s="260" t="s">
        <x:v>276</x:v>
      </x:c>
      <x:c r="F21" s="260" t="s">
        <x:v>277</x:v>
      </x:c>
      <x:c r="G21" s="260" t="s">
        <x:v>278</x:v>
      </x:c>
      <x:c r="H21" s="260" t="s">
        <x:v>225</x:v>
      </x:c>
      <x:c r="I21" s="261" t="s">
        <x:v>279</x:v>
      </x:c>
      <x:c r="J21" s="262" t="s">
        <x:v>280</x:v>
      </x:c>
    </x:row>
    <x:row r="22" ht="42" hidden="0" customHeight="1">
      <x:c r="A22" s="263" t="s">
        <x:v>281</x:v>
      </x:c>
      <x:c r="B22" s="135" t="s">
        <x:v>170</x:v>
      </x:c>
      <x:c r="C22" s="135" t="s">
        <x:v>275</x:v>
      </x:c>
      <x:c r="D22" s="135" t="s">
        <x:v>171</x:v>
      </x:c>
      <x:c r="E22" s="135" t="s">
        <x:v>282</x:v>
      </x:c>
      <x:c r="F22" s="135" t="s">
        <x:v>283</x:v>
      </x:c>
      <x:c r="G22" s="135" t="s">
        <x:v>284</x:v>
      </x:c>
      <x:c r="H22" s="135" t="s">
        <x:v>285</x:v>
      </x:c>
      <x:c r="I22" s="151" t="s">
        <x:v>279</x:v>
      </x:c>
      <x:c r="J22" s="264" t="s">
        <x:v>286</x:v>
      </x:c>
    </x:row>
    <x:row r="23" ht="42" hidden="0" customHeight="1">
      <x:c r="A23" s="263" t="s">
        <x:v>287</x:v>
      </x:c>
      <x:c r="B23" s="135" t="s">
        <x:v>170</x:v>
      </x:c>
      <x:c r="C23" s="135" t="s">
        <x:v>275</x:v>
      </x:c>
      <x:c r="D23" s="135" t="s">
        <x:v>147</x:v>
      </x:c>
      <x:c r="E23" s="135" t="s">
        <x:v>288</x:v>
      </x:c>
      <x:c r="F23" s="135" t="s">
        <x:v>289</x:v>
      </x:c>
      <x:c r="G23" s="135" t="s">
        <x:v>290</x:v>
      </x:c>
      <x:c r="H23" s="135" t="s">
        <x:v>231</x:v>
      </x:c>
      <x:c r="I23" s="151" t="s">
        <x:v>279</x:v>
      </x:c>
      <x:c r="J23" s="264" t="s">
        <x:v>291</x:v>
      </x:c>
    </x:row>
    <x:row r="24" ht="42" hidden="0" customHeight="1">
      <x:c r="A24" s="263" t="s">
        <x:v>292</x:v>
      </x:c>
      <x:c r="B24" s="135" t="s">
        <x:v>170</x:v>
      </x:c>
      <x:c r="C24" s="135" t="s">
        <x:v>275</x:v>
      </x:c>
      <x:c r="D24" s="135" t="s">
        <x:v>171</x:v>
      </x:c>
      <x:c r="E24" s="135" t="s">
        <x:v>293</x:v>
      </x:c>
      <x:c r="F24" s="135" t="s">
        <x:v>294</x:v>
      </x:c>
      <x:c r="G24" s="135" t="s">
        <x:v>295</x:v>
      </x:c>
      <x:c r="H24" s="135" t="s">
        <x:v>285</x:v>
      </x:c>
      <x:c r="I24" s="151" t="s">
        <x:v>279</x:v>
      </x:c>
      <x:c r="J24" s="264" t="s">
        <x:v>296</x:v>
      </x:c>
    </x:row>
    <x:row r="25" ht="42" hidden="0" customHeight="1">
      <x:c r="A25" s="263" t="s">
        <x:v>297</x:v>
      </x:c>
      <x:c r="B25" s="135" t="s">
        <x:v>146</x:v>
      </x:c>
      <x:c r="C25" s="135" t="s">
        <x:v>298</x:v>
      </x:c>
      <x:c r="D25" s="135" t="s">
        <x:v>299</x:v>
      </x:c>
      <x:c r="E25" s="135" t="s">
        <x:v>300</x:v>
      </x:c>
      <x:c r="F25" s="135" t="s">
        <x:v>301</x:v>
      </x:c>
      <x:c r="G25" s="135" t="s">
        <x:v>302</x:v>
      </x:c>
      <x:c r="H25" s="135" t="s">
        <x:v>303</x:v>
      </x:c>
      <x:c r="I25" s="151" t="s">
        <x:v>304</x:v>
      </x:c>
      <x:c r="J25" s="264" t="s">
        <x:v>305</x:v>
      </x:c>
    </x:row>
    <x:row r="26" ht="42" hidden="0" customHeight="1">
      <x:c r="A26" s="263" t="s">
        <x:v>306</x:v>
      </x:c>
      <x:c r="B26" s="135" t="s">
        <x:v>146</x:v>
      </x:c>
      <x:c r="C26" s="135" t="s">
        <x:v>298</x:v>
      </x:c>
      <x:c r="D26" s="135" t="s">
        <x:v>147</x:v>
      </x:c>
      <x:c r="E26" s="135" t="s">
        <x:v>307</x:v>
      </x:c>
      <x:c r="F26" s="135" t="s">
        <x:v>308</x:v>
      </x:c>
      <x:c r="G26" s="135" t="s">
        <x:v>309</x:v>
      </x:c>
      <x:c r="H26" s="135" t="s">
        <x:v>285</x:v>
      </x:c>
      <x:c r="I26" s="151" t="s">
        <x:v>310</x:v>
      </x:c>
      <x:c r="J26" s="264" t="s">
        <x:v>311</x:v>
      </x:c>
    </x:row>
    <x:row r="27" ht="42" hidden="0" customHeight="1">
      <x:c r="A27" s="263" t="s">
        <x:v>312</x:v>
      </x:c>
      <x:c r="B27" s="135" t="s">
        <x:v>164</x:v>
      </x:c>
      <x:c r="C27" s="135" t="s">
        <x:v>313</x:v>
      </x:c>
      <x:c r="D27" s="135" t="s">
        <x:v>299</x:v>
      </x:c>
      <x:c r="E27" s="135" t="s">
        <x:v>314</x:v>
      </x:c>
      <x:c r="F27" s="135" t="s">
        <x:v>315</x:v>
      </x:c>
      <x:c r="G27" s="135" t="s">
        <x:v>316</x:v>
      </x:c>
      <x:c r="H27" s="135" t="s">
        <x:v>303</x:v>
      </x:c>
      <x:c r="I27" s="151" t="s">
        <x:v>304</x:v>
      </x:c>
      <x:c r="J27" s="264" t="s">
        <x:v>317</x:v>
      </x:c>
    </x:row>
    <x:row r="28" ht="42" hidden="0" customHeight="1">
      <x:c r="A28" s="285" t="s">
        <x:v>318</x:v>
      </x:c>
      <x:c r="B28" s="146" t="s">
        <x:v>121</x:v>
      </x:c>
      <x:c r="C28" s="146" t="s">
        <x:v>319</x:v>
      </x:c>
      <x:c r="D28" s="146" t="s">
        <x:v>122</x:v>
      </x:c>
      <x:c r="E28" s="146" t="s">
        <x:v>320</x:v>
      </x:c>
      <x:c r="F28" s="146" t="s">
        <x:v>321</x:v>
      </x:c>
      <x:c r="G28" s="146" t="s">
        <x:v>322</x:v>
      </x:c>
      <x:c r="H28" s="146" t="s">
        <x:v>225</x:v>
      </x:c>
      <x:c r="I28" s="153" t="s">
        <x:v>323</x:v>
      </x:c>
      <x:c r="J28" s="286" t="s">
        <x:v>324</x:v>
      </x:c>
    </x:row>
    <x:row r="29" ht="42" hidden="0" customHeight="1">
      <x:c r="A29" s="263" t="s">
        <x:v>325</x:v>
      </x:c>
      <x:c r="B29" s="135" t="s">
        <x:v>132</x:v>
      </x:c>
      <x:c r="C29" s="135" t="s">
        <x:v>275</x:v>
      </x:c>
      <x:c r="D29" s="135" t="s">
        <x:v>122</x:v>
      </x:c>
      <x:c r="E29" s="135" t="s">
        <x:v>326</x:v>
      </x:c>
      <x:c r="F29" s="135" t="s">
        <x:v>327</x:v>
      </x:c>
      <x:c r="G29" s="135" t="s">
        <x:v>328</x:v>
      </x:c>
      <x:c r="H29" s="135" t="s">
        <x:v>225</x:v>
      </x:c>
      <x:c r="I29" s="135" t="s">
        <x:v>310</x:v>
      </x:c>
      <x:c r="J29" s="264" t="s">
        <x:v>329</x:v>
      </x:c>
    </x:row>
    <x:row r="30" ht="42" hidden="0" customHeight="1">
      <x:c r="A30" s="263" t="s">
        <x:v>330</x:v>
      </x:c>
      <x:c r="B30" s="135" t="s">
        <x:v>156</x:v>
      </x:c>
      <x:c r="C30" s="135" t="s">
        <x:v>331</x:v>
      </x:c>
      <x:c r="D30" s="135" t="s">
        <x:v>332</x:v>
      </x:c>
      <x:c r="E30" s="135" t="s">
        <x:v>333</x:v>
      </x:c>
      <x:c r="F30" s="135" t="s">
        <x:v>334</x:v>
      </x:c>
      <x:c r="G30" s="135" t="s">
        <x:v>335</x:v>
      </x:c>
      <x:c r="H30" s="135" t="s">
        <x:v>231</x:v>
      </x:c>
      <x:c r="I30" s="135" t="s">
        <x:v>310</x:v>
      </x:c>
      <x:c r="J30" s="264" t="s">
        <x:v>336</x:v>
      </x:c>
    </x:row>
    <x:row r="31" ht="42" hidden="0" customHeight="1">
      <x:c r="A31" s="263" t="s">
        <x:v>337</x:v>
      </x:c>
      <x:c r="B31" s="135" t="s">
        <x:v>139</x:v>
      </x:c>
      <x:c r="C31" s="135" t="s">
        <x:v>338</x:v>
      </x:c>
      <x:c r="D31" s="135" t="s">
        <x:v>122</x:v>
      </x:c>
      <x:c r="E31" s="135" t="s">
        <x:v>339</x:v>
      </x:c>
      <x:c r="F31" s="135" t="s">
        <x:v>340</x:v>
      </x:c>
      <x:c r="G31" s="135" t="s">
        <x:v>341</x:v>
      </x:c>
      <x:c r="H31" s="135" t="s">
        <x:v>225</x:v>
      </x:c>
      <x:c r="I31" s="135" t="s">
        <x:v>310</x:v>
      </x:c>
      <x:c r="J31" s="264" t="s">
        <x:v>329</x:v>
      </x:c>
    </x:row>
    <x:row r="32" ht="42" hidden="0" customHeight="1">
      <x:c r="A32" s="263" t="s">
        <x:v>342</x:v>
      </x:c>
      <x:c r="B32" s="135" t="s">
        <x:v>164</x:v>
      </x:c>
      <x:c r="C32" s="135" t="s">
        <x:v>343</x:v>
      </x:c>
      <x:c r="D32" s="135" t="s">
        <x:v>147</x:v>
      </x:c>
      <x:c r="E32" s="135" t="s">
        <x:v>344</x:v>
      </x:c>
      <x:c r="F32" s="135" t="s">
        <x:v>345</x:v>
      </x:c>
      <x:c r="G32" s="135" t="s">
        <x:v>346</x:v>
      </x:c>
      <x:c r="H32" s="135" t="s">
        <x:v>225</x:v>
      </x:c>
      <x:c r="I32" s="135" t="s">
        <x:v>310</x:v>
      </x:c>
      <x:c r="J32" s="264" t="s">
        <x:v>329</x:v>
      </x:c>
    </x:row>
    <x:row r="33" ht="42" hidden="0" customHeight="1">
      <x:c r="A33" s="263" t="s">
        <x:v>347</x:v>
      </x:c>
      <x:c r="B33" s="135" t="s">
        <x:v>146</x:v>
      </x:c>
      <x:c r="C33" s="135" t="s">
        <x:v>298</x:v>
      </x:c>
      <x:c r="D33" s="135" t="s">
        <x:v>147</x:v>
      </x:c>
      <x:c r="E33" s="135" t="s">
        <x:v>348</x:v>
      </x:c>
      <x:c r="F33" s="135" t="s">
        <x:v>349</x:v>
      </x:c>
      <x:c r="G33" s="135" t="s">
        <x:v>350</x:v>
      </x:c>
      <x:c r="H33" s="135" t="s">
        <x:v>231</x:v>
      </x:c>
      <x:c r="I33" s="135" t="s">
        <x:v>279</x:v>
      </x:c>
      <x:c r="J33" s="264" t="s">
        <x:v>351</x:v>
      </x:c>
    </x:row>
    <x:row r="34" ht="42" hidden="0" customHeight="1">
      <x:c r="A34" s="263" t="s">
        <x:v>352</x:v>
      </x:c>
      <x:c r="B34" s="135" t="s">
        <x:v>146</x:v>
      </x:c>
      <x:c r="C34" s="135" t="s">
        <x:v>298</x:v>
      </x:c>
      <x:c r="D34" s="135" t="s">
        <x:v>332</x:v>
      </x:c>
      <x:c r="E34" s="135" t="s">
        <x:v>353</x:v>
      </x:c>
      <x:c r="F34" s="135" t="s">
        <x:v>354</x:v>
      </x:c>
      <x:c r="G34" s="135" t="s">
        <x:v>355</x:v>
      </x:c>
      <x:c r="H34" s="135" t="s">
        <x:v>231</x:v>
      </x:c>
      <x:c r="I34" s="135" t="s">
        <x:v>356</x:v>
      </x:c>
      <x:c r="J34" s="264" t="s">
        <x:v>357</x:v>
      </x:c>
    </x:row>
    <x:row r="35" ht="42" hidden="0" customHeight="1">
      <x:c r="A35" s="263" t="s">
        <x:v>358</x:v>
      </x:c>
      <x:c r="B35" s="135" t="s">
        <x:v>139</x:v>
      </x:c>
      <x:c r="C35" s="135" t="s">
        <x:v>338</x:v>
      </x:c>
      <x:c r="D35" s="135" t="s">
        <x:v>122</x:v>
      </x:c>
      <x:c r="E35" s="135" t="s">
        <x:v>359</x:v>
      </x:c>
      <x:c r="F35" s="135" t="s">
        <x:v>360</x:v>
      </x:c>
      <x:c r="G35" s="135" t="s">
        <x:v>361</x:v>
      </x:c>
      <x:c r="H35" s="135" t="s">
        <x:v>285</x:v>
      </x:c>
      <x:c r="I35" s="135" t="s">
        <x:v>279</x:v>
      </x:c>
      <x:c r="J35" s="264" t="s">
        <x:v>362</x:v>
      </x:c>
    </x:row>
    <x:row r="36" ht="42" hidden="0" customHeight="1">
      <x:c r="A36" s="263" t="s">
        <x:v>363</x:v>
      </x:c>
      <x:c r="B36" s="135" t="s">
        <x:v>132</x:v>
      </x:c>
      <x:c r="C36" s="135" t="s">
        <x:v>275</x:v>
      </x:c>
      <x:c r="D36" s="135" t="s">
        <x:v>122</x:v>
      </x:c>
      <x:c r="E36" s="135" t="s">
        <x:v>364</x:v>
      </x:c>
      <x:c r="F36" s="135" t="s">
        <x:v>365</x:v>
      </x:c>
      <x:c r="G36" s="135" t="s">
        <x:v>366</x:v>
      </x:c>
      <x:c r="H36" s="135" t="s">
        <x:v>285</x:v>
      </x:c>
      <x:c r="I36" s="135" t="s">
        <x:v>279</x:v>
      </x:c>
      <x:c r="J36" s="264" t="s">
        <x:v>367</x:v>
      </x:c>
    </x:row>
    <x:row r="37" ht="42" hidden="0" customHeight="1">
      <x:c r="A37" s="263" t="s">
        <x:v>368</x:v>
      </x:c>
      <x:c r="B37" s="135" t="s">
        <x:v>121</x:v>
      </x:c>
      <x:c r="C37" s="135" t="s">
        <x:v>319</x:v>
      </x:c>
      <x:c r="D37" s="135" t="s">
        <x:v>147</x:v>
      </x:c>
      <x:c r="E37" s="135" t="s">
        <x:v>369</x:v>
      </x:c>
      <x:c r="F37" s="135" t="s">
        <x:v>370</x:v>
      </x:c>
      <x:c r="G37" s="135" t="s">
        <x:v>371</x:v>
      </x:c>
      <x:c r="H37" s="135" t="s">
        <x:v>225</x:v>
      </x:c>
      <x:c r="I37" s="135" t="s">
        <x:v>279</x:v>
      </x:c>
      <x:c r="J37" s="264" t="s">
        <x:v>372</x:v>
      </x:c>
    </x:row>
    <x:row r="38" ht="42" hidden="0" customHeight="1">
      <x:c r="A38" s="263" t="s">
        <x:v>373</x:v>
      </x:c>
      <x:c r="B38" s="135" t="s">
        <x:v>164</x:v>
      </x:c>
      <x:c r="C38" s="135" t="s">
        <x:v>343</x:v>
      </x:c>
      <x:c r="D38" s="135" t="s">
        <x:v>332</x:v>
      </x:c>
      <x:c r="E38" s="135" t="s">
        <x:v>374</x:v>
      </x:c>
      <x:c r="F38" s="135" t="s">
        <x:v>375</x:v>
      </x:c>
      <x:c r="G38" s="135" t="s">
        <x:v>376</x:v>
      </x:c>
      <x:c r="H38" s="135" t="s">
        <x:v>231</x:v>
      </x:c>
      <x:c r="I38" s="135" t="s">
        <x:v>377</x:v>
      </x:c>
      <x:c r="J38" s="264" t="s">
        <x:v>378</x:v>
      </x:c>
    </x:row>
    <x:row r="39" ht="42" hidden="0" customHeight="1">
      <x:c r="A39" s="263" t="s">
        <x:v>379</x:v>
      </x:c>
      <x:c r="B39" s="135" t="s">
        <x:v>164</x:v>
      </x:c>
      <x:c r="C39" s="135" t="s">
        <x:v>343</x:v>
      </x:c>
      <x:c r="D39" s="135" t="s">
        <x:v>147</x:v>
      </x:c>
      <x:c r="E39" s="135" t="s">
        <x:v>380</x:v>
      </x:c>
      <x:c r="F39" s="135" t="s">
        <x:v>381</x:v>
      </x:c>
      <x:c r="G39" s="135" t="s">
        <x:v>382</x:v>
      </x:c>
      <x:c r="H39" s="135" t="s">
        <x:v>231</x:v>
      </x:c>
      <x:c r="I39" s="135" t="s">
        <x:v>279</x:v>
      </x:c>
      <x:c r="J39" s="264" t="s">
        <x:v>383</x:v>
      </x:c>
    </x:row>
    <x:row r="40" ht="42" hidden="0" customHeight="1">
      <x:c r="A40" s="263" t="s">
        <x:v>384</x:v>
      </x:c>
      <x:c r="B40" s="135" t="s">
        <x:v>156</x:v>
      </x:c>
      <x:c r="C40" s="135" t="s">
        <x:v>331</x:v>
      </x:c>
      <x:c r="D40" s="135" t="s">
        <x:v>332</x:v>
      </x:c>
      <x:c r="E40" s="135" t="s">
        <x:v>385</x:v>
      </x:c>
      <x:c r="F40" s="135" t="s">
        <x:v>386</x:v>
      </x:c>
      <x:c r="G40" s="135" t="s">
        <x:v>387</x:v>
      </x:c>
      <x:c r="H40" s="135" t="s">
        <x:v>225</x:v>
      </x:c>
      <x:c r="I40" s="135" t="s">
        <x:v>388</x:v>
      </x:c>
      <x:c r="J40" s="264" t="s">
        <x:v>389</x:v>
      </x:c>
    </x:row>
    <x:row r="41" ht="42" hidden="0" customHeight="1">
      <x:c r="A41" s="263" t="s">
        <x:v>390</x:v>
      </x:c>
      <x:c r="B41" s="135" t="s">
        <x:v>132</x:v>
      </x:c>
      <x:c r="C41" s="135" t="s">
        <x:v>275</x:v>
      </x:c>
      <x:c r="D41" s="135" t="s">
        <x:v>122</x:v>
      </x:c>
      <x:c r="E41" s="135" t="s">
        <x:v>391</x:v>
      </x:c>
      <x:c r="F41" s="135" t="s">
        <x:v>392</x:v>
      </x:c>
      <x:c r="G41" s="135" t="s">
        <x:v>393</x:v>
      </x:c>
      <x:c r="H41" s="135" t="s">
        <x:v>225</x:v>
      </x:c>
      <x:c r="I41" s="135" t="s">
        <x:v>279</x:v>
      </x:c>
      <x:c r="J41" s="264" t="s">
        <x:v>394</x:v>
      </x:c>
    </x:row>
    <x:row r="42" ht="42" hidden="0" customHeight="1">
      <x:c r="A42" s="263" t="s">
        <x:v>395</x:v>
      </x:c>
      <x:c r="B42" s="135" t="s">
        <x:v>132</x:v>
      </x:c>
      <x:c r="C42" s="135" t="s">
        <x:v>275</x:v>
      </x:c>
      <x:c r="D42" s="135" t="s">
        <x:v>122</x:v>
      </x:c>
      <x:c r="E42" s="135" t="s">
        <x:v>396</x:v>
      </x:c>
      <x:c r="F42" s="135" t="s">
        <x:v>397</x:v>
      </x:c>
      <x:c r="G42" s="135" t="s">
        <x:v>328</x:v>
      </x:c>
      <x:c r="H42" s="135" t="s">
        <x:v>225</x:v>
      </x:c>
      <x:c r="I42" s="135" t="s">
        <x:v>279</x:v>
      </x:c>
      <x:c r="J42" s="264" t="s">
        <x:v>398</x:v>
      </x:c>
    </x:row>
    <x:row r="43" ht="42" hidden="0" customHeight="1">
      <x:c r="A43" s="265" t="s">
        <x:v>399</x:v>
      </x:c>
      <x:c r="B43" s="266" t="s">
        <x:v>177</x:v>
      </x:c>
      <x:c r="C43" s="266" t="s">
        <x:v>319</x:v>
      </x:c>
      <x:c r="D43" s="266" t="s">
        <x:v>171</x:v>
      </x:c>
      <x:c r="E43" s="266" t="s">
        <x:v>400</x:v>
      </x:c>
      <x:c r="F43" s="266" t="s">
        <x:v>401</x:v>
      </x:c>
      <x:c r="G43" s="266" t="s">
        <x:v>402</x:v>
      </x:c>
      <x:c r="H43" s="266" t="s">
        <x:v>285</x:v>
      </x:c>
      <x:c r="I43" s="266" t="s">
        <x:v>279</x:v>
      </x:c>
      <x:c r="J43" s="268" t="s">
        <x:v>403</x:v>
      </x:c>
    </x:row>
  </x:sheetData>
  <x:mergeCells>
    <x:mergeCell ref="A1:J1"/>
    <x:mergeCell ref="A2:J2"/>
  </x:mergeCells>
  <x:dataValidations count="1">
    <x:dataValidation type="list" sqref="I5:I28">
      <x:formula1>"PLANNED,SEEDED,VERIFIED,REMOVED"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18" hidden="0" customWidth="1"/>
    <x:col min="3" max="3" width="26" hidden="0" customWidth="1"/>
    <x:col min="4" max="4" width="38" hidden="0" customWidth="1"/>
    <x:col min="5" max="5" width="42" hidden="0" customWidth="1"/>
    <x:col min="6" max="6" width="36" hidden="0" customWidth="1"/>
    <x:col min="7" max="7" width="28" hidden="0" customWidth="1"/>
    <x:col min="8" max="9" width="30" customWidth="1"/>
    <x:col min="10" max="10" width="22" hidden="0" customWidth="1"/>
    <x:col min="11" max="11" width="34" hidden="0" customWidth="1"/>
    <x:col min="8" max="8" width="22" hidden="0" customWidth="1"/>
    <x:col min="9" max="9" width="20" hidden="0" customWidth="1"/>
  </x:cols>
  <x:sheetData>
    <x:row r="1" ht="28" customHeight="1">
      <x:c r="A1" s="181" t="s">
        <x:v>404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</x:row>
    <x:row r="2" ht="30" customHeight="1">
      <x:c r="A2" s="187" t="s">
        <x:v>405</x:v>
      </x:c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  <x:c r="I3" s="135"/>
      <x:c r="J3" s="135"/>
      <x:c r="K3" s="135"/>
    </x:row>
    <x:row r="4" ht="32" customHeight="1">
      <x:c r="A4" s="253" t="s">
        <x:v>112</x:v>
      </x:c>
      <x:c r="B4" s="254" t="s">
        <x:v>406</x:v>
      </x:c>
      <x:c r="C4" s="254" t="s">
        <x:v>22</x:v>
      </x:c>
      <x:c r="D4" s="254" t="s">
        <x:v>407</x:v>
      </x:c>
      <x:c r="E4" s="254" t="s">
        <x:v>408</x:v>
      </x:c>
      <x:c r="F4" s="254" t="s">
        <x:v>409</x:v>
      </x:c>
      <x:c r="G4" s="254" t="s">
        <x:v>410</x:v>
      </x:c>
      <x:c r="H4" s="254" t="s">
        <x:v>411</x:v>
      </x:c>
      <x:c r="I4" s="254" t="s">
        <x:v>412</x:v>
      </x:c>
      <x:c r="J4" s="254" t="s">
        <x:v>413</x:v>
      </x:c>
      <x:c r="K4" s="255" t="s">
        <x:v>23</x:v>
      </x:c>
    </x:row>
    <x:row r="5" ht="48" hidden="0" customHeight="1">
      <x:c r="A5" s="259" t="s">
        <x:v>121</x:v>
      </x:c>
      <x:c r="B5" s="260" t="s">
        <x:v>131</x:v>
      </x:c>
      <x:c r="C5" s="260" t="s">
        <x:v>124</x:v>
      </x:c>
      <x:c r="D5" s="260" t="s">
        <x:v>414</x:v>
      </x:c>
      <x:c r="E5" s="260" t="s">
        <x:v>415</x:v>
      </x:c>
      <x:c r="F5" s="260" t="s">
        <x:v>125</x:v>
      </x:c>
      <x:c r="G5" s="260" t="s">
        <x:v>127</x:v>
      </x:c>
      <x:c r="H5" s="260" t="s">
        <x:v>416</x:v>
      </x:c>
      <x:c r="I5" s="260" t="s">
        <x:v>417</x:v>
      </x:c>
      <x:c r="J5" s="260" t="s">
        <x:v>129</x:v>
      </x:c>
      <x:c r="K5" s="279" t="s">
        <x:v>418</x:v>
      </x:c>
    </x:row>
    <x:row r="6" ht="48" hidden="0" customHeight="1">
      <x:c r="A6" s="263" t="s">
        <x:v>132</x:v>
      </x:c>
      <x:c r="B6" s="135" t="s">
        <x:v>138</x:v>
      </x:c>
      <x:c r="C6" s="135" t="s">
        <x:v>134</x:v>
      </x:c>
      <x:c r="D6" s="135" t="s">
        <x:v>419</x:v>
      </x:c>
      <x:c r="E6" s="135" t="s">
        <x:v>420</x:v>
      </x:c>
      <x:c r="F6" s="135" t="s">
        <x:v>125</x:v>
      </x:c>
      <x:c r="G6" s="135" t="s">
        <x:v>136</x:v>
      </x:c>
      <x:c r="H6" s="135" t="s">
        <x:v>421</x:v>
      </x:c>
      <x:c r="I6" s="135" t="s">
        <x:v>422</x:v>
      </x:c>
      <x:c r="J6" s="135" t="s">
        <x:v>129</x:v>
      </x:c>
      <x:c r="K6" s="280" t="s">
        <x:v>418</x:v>
      </x:c>
    </x:row>
    <x:row r="7" ht="48" hidden="0" customHeight="1">
      <x:c r="A7" s="263" t="s">
        <x:v>139</x:v>
      </x:c>
      <x:c r="B7" s="135" t="s">
        <x:v>145</x:v>
      </x:c>
      <x:c r="C7" s="135" t="s">
        <x:v>141</x:v>
      </x:c>
      <x:c r="D7" s="135" t="s">
        <x:v>414</x:v>
      </x:c>
      <x:c r="E7" s="135" t="s">
        <x:v>423</x:v>
      </x:c>
      <x:c r="F7" s="135" t="s">
        <x:v>125</x:v>
      </x:c>
      <x:c r="G7" s="135" t="s">
        <x:v>143</x:v>
      </x:c>
      <x:c r="H7" s="135" t="s">
        <x:v>424</x:v>
      </x:c>
      <x:c r="I7" s="135" t="s">
        <x:v>425</x:v>
      </x:c>
      <x:c r="J7" s="135" t="s">
        <x:v>129</x:v>
      </x:c>
      <x:c r="K7" s="280" t="s">
        <x:v>418</x:v>
      </x:c>
    </x:row>
    <x:row r="8" ht="48" hidden="0" customHeight="1">
      <x:c r="A8" s="263" t="s">
        <x:v>146</x:v>
      </x:c>
      <x:c r="B8" s="135" t="s">
        <x:v>155</x:v>
      </x:c>
      <x:c r="C8" s="135" t="s">
        <x:v>149</x:v>
      </x:c>
      <x:c r="D8" s="135" t="s">
        <x:v>419</x:v>
      </x:c>
      <x:c r="E8" s="135" t="s">
        <x:v>426</x:v>
      </x:c>
      <x:c r="F8" s="135" t="s">
        <x:v>150</x:v>
      </x:c>
      <x:c r="G8" s="135" t="s">
        <x:v>152</x:v>
      </x:c>
      <x:c r="H8" s="135" t="s">
        <x:v>427</x:v>
      </x:c>
      <x:c r="I8" s="135" t="s">
        <x:v>428</x:v>
      </x:c>
      <x:c r="J8" s="135" t="s">
        <x:v>129</x:v>
      </x:c>
      <x:c r="K8" s="280" t="s">
        <x:v>418</x:v>
      </x:c>
    </x:row>
    <x:row r="9" ht="48" hidden="0" customHeight="1">
      <x:c r="A9" s="263" t="s">
        <x:v>156</x:v>
      </x:c>
      <x:c r="B9" s="135" t="s">
        <x:v>163</x:v>
      </x:c>
      <x:c r="C9" s="135" t="s">
        <x:v>158</x:v>
      </x:c>
      <x:c r="D9" s="135" t="s">
        <x:v>414</x:v>
      </x:c>
      <x:c r="E9" s="135" t="s">
        <x:v>429</x:v>
      </x:c>
      <x:c r="F9" s="135" t="s">
        <x:v>150</x:v>
      </x:c>
      <x:c r="G9" s="135" t="s">
        <x:v>160</x:v>
      </x:c>
      <x:c r="H9" s="135" t="s">
        <x:v>430</x:v>
      </x:c>
      <x:c r="I9" s="135" t="s">
        <x:v>431</x:v>
      </x:c>
      <x:c r="J9" s="135" t="s">
        <x:v>161</x:v>
      </x:c>
      <x:c r="K9" s="280" t="s">
        <x:v>418</x:v>
      </x:c>
    </x:row>
    <x:row r="10" ht="48" hidden="0" customHeight="1">
      <x:c r="A10" s="263" t="s">
        <x:v>164</x:v>
      </x:c>
      <x:c r="B10" s="135" t="s">
        <x:v>169</x:v>
      </x:c>
      <x:c r="C10" s="135" t="s">
        <x:v>166</x:v>
      </x:c>
      <x:c r="D10" s="135" t="s">
        <x:v>414</x:v>
      </x:c>
      <x:c r="E10" s="135" t="s">
        <x:v>432</x:v>
      </x:c>
      <x:c r="F10" s="135" t="s">
        <x:v>150</x:v>
      </x:c>
      <x:c r="G10" s="135" t="s">
        <x:v>168</x:v>
      </x:c>
      <x:c r="H10" s="135" t="s">
        <x:v>433</x:v>
      </x:c>
      <x:c r="I10" s="135" t="s">
        <x:v>434</x:v>
      </x:c>
      <x:c r="J10" s="135" t="s">
        <x:v>129</x:v>
      </x:c>
      <x:c r="K10" s="280" t="s">
        <x:v>418</x:v>
      </x:c>
    </x:row>
    <x:row r="11" ht="48" hidden="0" customHeight="1">
      <x:c r="A11" s="263" t="s">
        <x:v>170</x:v>
      </x:c>
      <x:c r="B11" s="135" t="s">
        <x:v>138</x:v>
      </x:c>
      <x:c r="C11" s="135" t="s">
        <x:v>173</x:v>
      </x:c>
      <x:c r="D11" s="135" t="s">
        <x:v>419</x:v>
      </x:c>
      <x:c r="E11" s="135" t="s">
        <x:v>435</x:v>
      </x:c>
      <x:c r="F11" s="135" t="s">
        <x:v>174</x:v>
      </x:c>
      <x:c r="G11" s="135" t="s">
        <x:v>176</x:v>
      </x:c>
      <x:c r="H11" s="135" t="s">
        <x:v>436</x:v>
      </x:c>
      <x:c r="I11" s="135" t="s">
        <x:v>437</x:v>
      </x:c>
      <x:c r="J11" s="135" t="s">
        <x:v>129</x:v>
      </x:c>
      <x:c r="K11" s="280" t="s">
        <x:v>418</x:v>
      </x:c>
    </x:row>
    <x:row r="12" ht="48" hidden="0" customHeight="1">
      <x:c r="A12" s="263" t="s">
        <x:v>177</x:v>
      </x:c>
      <x:c r="B12" s="135" t="s">
        <x:v>131</x:v>
      </x:c>
      <x:c r="C12" s="135" t="s">
        <x:v>179</x:v>
      </x:c>
      <x:c r="D12" s="135" t="s">
        <x:v>414</x:v>
      </x:c>
      <x:c r="E12" s="135" t="s">
        <x:v>438</x:v>
      </x:c>
      <x:c r="F12" s="135" t="s">
        <x:v>180</x:v>
      </x:c>
      <x:c r="G12" s="135" t="s">
        <x:v>182</x:v>
      </x:c>
      <x:c r="H12" s="135" t="s">
        <x:v>439</x:v>
      </x:c>
      <x:c r="I12" s="135" t="s">
        <x:v>440</x:v>
      </x:c>
      <x:c r="J12" s="135" t="s">
        <x:v>129</x:v>
      </x:c>
      <x:c r="K12" s="280" t="s">
        <x:v>418</x:v>
      </x:c>
    </x:row>
    <x:row r="13" ht="48" hidden="0" customHeight="1">
      <x:c r="A13" s="263" t="s">
        <x:v>184</x:v>
      </x:c>
      <x:c r="B13" s="135" t="s">
        <x:v>191</x:v>
      </x:c>
      <x:c r="C13" s="135" t="s">
        <x:v>186</x:v>
      </x:c>
      <x:c r="D13" s="135" t="s">
        <x:v>441</x:v>
      </x:c>
      <x:c r="E13" s="135" t="s">
        <x:v>442</x:v>
      </x:c>
      <x:c r="F13" s="135" t="s">
        <x:v>187</x:v>
      </x:c>
      <x:c r="G13" s="135" t="s">
        <x:v>189</x:v>
      </x:c>
      <x:c r="H13" s="135" t="s">
        <x:v>443</x:v>
      </x:c>
      <x:c r="I13" s="135" t="s">
        <x:v>444</x:v>
      </x:c>
      <x:c r="J13" s="135" t="s">
        <x:v>190</x:v>
      </x:c>
      <x:c r="K13" s="280" t="s">
        <x:v>418</x:v>
      </x:c>
    </x:row>
    <x:row r="14" ht="48" hidden="0" customHeight="1">
      <x:c r="A14" s="263" t="s">
        <x:v>192</x:v>
      </x:c>
      <x:c r="B14" s="135" t="s">
        <x:v>131</x:v>
      </x:c>
      <x:c r="C14" s="135" t="s">
        <x:v>195</x:v>
      </x:c>
      <x:c r="D14" s="135" t="s">
        <x:v>414</x:v>
      </x:c>
      <x:c r="E14" s="135" t="s">
        <x:v>445</x:v>
      </x:c>
      <x:c r="F14" s="135" t="s">
        <x:v>446</x:v>
      </x:c>
      <x:c r="G14" s="135" t="s">
        <x:v>197</x:v>
      </x:c>
      <x:c r="H14" s="135" t="s">
        <x:v>447</x:v>
      </x:c>
      <x:c r="I14" s="135" t="s">
        <x:v>448</x:v>
      </x:c>
      <x:c r="J14" s="135" t="s">
        <x:v>161</x:v>
      </x:c>
      <x:c r="K14" s="280" t="s">
        <x:v>418</x:v>
      </x:c>
    </x:row>
    <x:row r="15" ht="48" hidden="0" customHeight="1">
      <x:c r="A15" s="263" t="s">
        <x:v>199</x:v>
      </x:c>
      <x:c r="B15" s="135" t="s">
        <x:v>138</x:v>
      </x:c>
      <x:c r="C15" s="135" t="s">
        <x:v>201</x:v>
      </x:c>
      <x:c r="D15" s="135" t="s">
        <x:v>419</x:v>
      </x:c>
      <x:c r="E15" s="135" t="s">
        <x:v>449</x:v>
      </x:c>
      <x:c r="F15" s="135" t="s">
        <x:v>446</x:v>
      </x:c>
      <x:c r="G15" s="135" t="s">
        <x:v>203</x:v>
      </x:c>
      <x:c r="H15" s="135" t="s">
        <x:v>450</x:v>
      </x:c>
      <x:c r="I15" s="135" t="s">
        <x:v>451</x:v>
      </x:c>
      <x:c r="J15" s="135" t="s">
        <x:v>161</x:v>
      </x:c>
      <x:c r="K15" s="280" t="s">
        <x:v>418</x:v>
      </x:c>
    </x:row>
    <x:row r="16" ht="48" hidden="0" customHeight="1">
      <x:c r="A16" s="265" t="s">
        <x:v>204</x:v>
      </x:c>
      <x:c r="B16" s="266" t="s">
        <x:v>138</x:v>
      </x:c>
      <x:c r="C16" s="266" t="s">
        <x:v>206</x:v>
      </x:c>
      <x:c r="D16" s="266" t="s">
        <x:v>419</x:v>
      </x:c>
      <x:c r="E16" s="266" t="s">
        <x:v>452</x:v>
      </x:c>
      <x:c r="F16" s="266" t="s">
        <x:v>446</x:v>
      </x:c>
      <x:c r="G16" s="266" t="s">
        <x:v>208</x:v>
      </x:c>
      <x:c r="H16" s="266" t="s">
        <x:v>453</x:v>
      </x:c>
      <x:c r="I16" s="266" t="s">
        <x:v>454</x:v>
      </x:c>
      <x:c r="J16" s="266" t="s">
        <x:v>209</x:v>
      </x:c>
      <x:c r="K16" s="281" t="s">
        <x:v>418</x:v>
      </x:c>
    </x:row>
    <x:row r="17" ht="180" customHeight="1"/>
    <x:row r="18" ht="180" customHeight="1"/>
    <x:row r="19" ht="180" customHeight="1"/>
    <x:row r="20" ht="180" customHeight="1"/>
    <x:row r="21" ht="180" customHeight="1"/>
    <x:row r="22" ht="180" customHeight="1"/>
    <x:row r="23" ht="180" customHeight="1"/>
    <x:row r="24" ht="180" customHeight="1"/>
    <x:row r="25" ht="180" customHeight="1"/>
    <x:row r="26" ht="180" customHeight="1"/>
    <x:row r="27" ht="180" customHeight="1"/>
    <x:row r="28" ht="180" customHeight="1"/>
  </x:sheetData>
  <x:mergeCells>
    <x:mergeCell ref="A1:K1"/>
    <x:mergeCell ref="A2:K2"/>
  </x:mergeCells>
  <x:dataValidations count="1">
    <x:dataValidation type="list" sqref="K5:K16">
      <x:formula1>"DRAFT,REVIEWED,READY"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22" hidden="0" customWidth="1"/>
    <x:col min="3" max="3" width="18" hidden="0" customWidth="1"/>
    <x:col min="4" max="4" width="44" hidden="0" customWidth="1"/>
    <x:col min="5" max="5" width="18" hidden="0" customWidth="1"/>
    <x:col min="6" max="6" width="18" hidden="0" customWidth="1"/>
    <x:col min="7" max="7" width="38" hidden="0" customWidth="1"/>
    <x:col min="8" max="8" width="28" hidden="0" customWidth="1"/>
  </x:cols>
  <x:sheetData>
    <x:row r="1" ht="28" customHeight="1">
      <x:c r="A1" s="181" t="s">
        <x:v>455</x:v>
      </x:c>
      <x:c r="B1" s="181"/>
      <x:c r="C1" s="181"/>
      <x:c r="D1" s="181"/>
      <x:c r="E1" s="181"/>
      <x:c r="F1" s="181"/>
      <x:c r="G1" s="181"/>
      <x:c r="H1" s="181"/>
    </x:row>
    <x:row r="2" ht="30" customHeight="1">
      <x:c r="A2" s="187" t="s">
        <x:v>456</x:v>
      </x:c>
      <x:c r="B2" s="187"/>
      <x:c r="C2" s="187"/>
      <x:c r="D2" s="187"/>
      <x:c r="E2" s="187"/>
      <x:c r="F2" s="187"/>
      <x:c r="G2" s="187"/>
      <x:c r="H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</x:row>
    <x:row r="4" ht="32" customHeight="1">
      <x:c r="A4" s="253" t="s">
        <x:v>112</x:v>
      </x:c>
      <x:c r="B4" s="254" t="s">
        <x:v>457</x:v>
      </x:c>
      <x:c r="C4" s="254" t="s">
        <x:v>458</x:v>
      </x:c>
      <x:c r="D4" s="254" t="s">
        <x:v>459</x:v>
      </x:c>
      <x:c r="E4" s="254" t="s">
        <x:v>458</x:v>
      </x:c>
      <x:c r="F4" s="254" t="s">
        <x:v>460</x:v>
      </x:c>
      <x:c r="G4" s="254" t="s">
        <x:v>458</x:v>
      </x:c>
      <x:c r="H4" s="255" t="s">
        <x:v>461</x:v>
      </x:c>
    </x:row>
    <x:row r="5" ht="105" customHeight="1">
      <x:c r="A5" s="259" t="s">
        <x:v>121</x:v>
      </x:c>
      <x:c r="B5" s="260" t="s">
        <x:v>462</x:v>
      </x:c>
      <x:c r="C5" s="260">
        <x:v>4</x:v>
      </x:c>
      <x:c r="D5" s="260" t="s">
        <x:v>463</x:v>
      </x:c>
      <x:c r="E5" s="260">
        <x:v>3</x:v>
      </x:c>
      <x:c r="F5" s="260" t="s">
        <x:v>464</x:v>
      </x:c>
      <x:c r="G5" s="260">
        <x:v>3</x:v>
      </x:c>
      <x:c r="H5" s="262">
        <x:v>10</x:v>
      </x:c>
    </x:row>
    <x:row r="6" ht="105" customHeight="1">
      <x:c r="A6" s="263" t="s">
        <x:v>132</x:v>
      </x:c>
      <x:c r="B6" s="135" t="s">
        <x:v>462</x:v>
      </x:c>
      <x:c r="C6" s="135">
        <x:v>4</x:v>
      </x:c>
      <x:c r="D6" s="135" t="s">
        <x:v>463</x:v>
      </x:c>
      <x:c r="E6" s="135">
        <x:v>3</x:v>
      </x:c>
      <x:c r="F6" s="135" t="s">
        <x:v>464</x:v>
      </x:c>
      <x:c r="G6" s="135">
        <x:v>3</x:v>
      </x:c>
      <x:c r="H6" s="264">
        <x:v>10</x:v>
      </x:c>
    </x:row>
    <x:row r="7" ht="105" customHeight="1">
      <x:c r="A7" s="263" t="s">
        <x:v>139</x:v>
      </x:c>
      <x:c r="B7" s="135" t="s">
        <x:v>462</x:v>
      </x:c>
      <x:c r="C7" s="135">
        <x:v>4</x:v>
      </x:c>
      <x:c r="D7" s="135" t="s">
        <x:v>463</x:v>
      </x:c>
      <x:c r="E7" s="135">
        <x:v>3</x:v>
      </x:c>
      <x:c r="F7" s="135" t="s">
        <x:v>464</x:v>
      </x:c>
      <x:c r="G7" s="135">
        <x:v>3</x:v>
      </x:c>
      <x:c r="H7" s="264">
        <x:v>10</x:v>
      </x:c>
    </x:row>
    <x:row r="8" ht="105" customHeight="1">
      <x:c r="A8" s="263" t="s">
        <x:v>146</x:v>
      </x:c>
      <x:c r="B8" s="135" t="s">
        <x:v>462</x:v>
      </x:c>
      <x:c r="C8" s="135">
        <x:v>4</x:v>
      </x:c>
      <x:c r="D8" s="135" t="s">
        <x:v>463</x:v>
      </x:c>
      <x:c r="E8" s="135">
        <x:v>3</x:v>
      </x:c>
      <x:c r="F8" s="135" t="s">
        <x:v>464</x:v>
      </x:c>
      <x:c r="G8" s="135">
        <x:v>3</x:v>
      </x:c>
      <x:c r="H8" s="264">
        <x:v>10</x:v>
      </x:c>
    </x:row>
    <x:row r="9" ht="105" customHeight="1">
      <x:c r="A9" s="263" t="s">
        <x:v>156</x:v>
      </x:c>
      <x:c r="B9" s="135" t="s">
        <x:v>462</x:v>
      </x:c>
      <x:c r="C9" s="135">
        <x:v>4</x:v>
      </x:c>
      <x:c r="D9" s="135" t="s">
        <x:v>463</x:v>
      </x:c>
      <x:c r="E9" s="135">
        <x:v>3</x:v>
      </x:c>
      <x:c r="F9" s="135" t="s">
        <x:v>464</x:v>
      </x:c>
      <x:c r="G9" s="135">
        <x:v>3</x:v>
      </x:c>
      <x:c r="H9" s="264">
        <x:v>10</x:v>
      </x:c>
    </x:row>
    <x:row r="10" ht="105" customHeight="1">
      <x:c r="A10" s="263" t="s">
        <x:v>164</x:v>
      </x:c>
      <x:c r="B10" s="135" t="s">
        <x:v>462</x:v>
      </x:c>
      <x:c r="C10" s="135">
        <x:v>4</x:v>
      </x:c>
      <x:c r="D10" s="135" t="s">
        <x:v>463</x:v>
      </x:c>
      <x:c r="E10" s="135">
        <x:v>3</x:v>
      </x:c>
      <x:c r="F10" s="135" t="s">
        <x:v>464</x:v>
      </x:c>
      <x:c r="G10" s="135">
        <x:v>3</x:v>
      </x:c>
      <x:c r="H10" s="264">
        <x:v>10</x:v>
      </x:c>
    </x:row>
    <x:row r="11" ht="105" customHeight="1">
      <x:c r="A11" s="263" t="s">
        <x:v>170</x:v>
      </x:c>
      <x:c r="B11" s="135" t="s">
        <x:v>462</x:v>
      </x:c>
      <x:c r="C11" s="135">
        <x:v>4</x:v>
      </x:c>
      <x:c r="D11" s="135" t="s">
        <x:v>463</x:v>
      </x:c>
      <x:c r="E11" s="135">
        <x:v>3</x:v>
      </x:c>
      <x:c r="F11" s="135" t="s">
        <x:v>464</x:v>
      </x:c>
      <x:c r="G11" s="135">
        <x:v>3</x:v>
      </x:c>
      <x:c r="H11" s="264">
        <x:v>10</x:v>
      </x:c>
    </x:row>
    <x:row r="12" ht="105" customHeight="1">
      <x:c r="A12" s="263" t="s">
        <x:v>177</x:v>
      </x:c>
      <x:c r="B12" s="135" t="s">
        <x:v>462</x:v>
      </x:c>
      <x:c r="C12" s="135">
        <x:v>4</x:v>
      </x:c>
      <x:c r="D12" s="135" t="s">
        <x:v>463</x:v>
      </x:c>
      <x:c r="E12" s="135">
        <x:v>3</x:v>
      </x:c>
      <x:c r="F12" s="135" t="s">
        <x:v>464</x:v>
      </x:c>
      <x:c r="G12" s="135">
        <x:v>3</x:v>
      </x:c>
      <x:c r="H12" s="264">
        <x:v>10</x:v>
      </x:c>
    </x:row>
    <x:row r="13" ht="105" customHeight="1">
      <x:c r="A13" s="263" t="s">
        <x:v>184</x:v>
      </x:c>
      <x:c r="B13" s="135" t="s">
        <x:v>462</x:v>
      </x:c>
      <x:c r="C13" s="135">
        <x:v>4</x:v>
      </x:c>
      <x:c r="D13" s="135" t="s">
        <x:v>463</x:v>
      </x:c>
      <x:c r="E13" s="135">
        <x:v>3</x:v>
      </x:c>
      <x:c r="F13" s="135" t="s">
        <x:v>464</x:v>
      </x:c>
      <x:c r="G13" s="135">
        <x:v>3</x:v>
      </x:c>
      <x:c r="H13" s="264">
        <x:v>10</x:v>
      </x:c>
    </x:row>
    <x:row r="14" ht="105" customHeight="1">
      <x:c r="A14" s="263" t="s">
        <x:v>192</x:v>
      </x:c>
      <x:c r="B14" s="135" t="s">
        <x:v>462</x:v>
      </x:c>
      <x:c r="C14" s="135">
        <x:v>4</x:v>
      </x:c>
      <x:c r="D14" s="135" t="s">
        <x:v>463</x:v>
      </x:c>
      <x:c r="E14" s="135">
        <x:v>3</x:v>
      </x:c>
      <x:c r="F14" s="135" t="s">
        <x:v>464</x:v>
      </x:c>
      <x:c r="G14" s="135">
        <x:v>3</x:v>
      </x:c>
      <x:c r="H14" s="264">
        <x:v>10</x:v>
      </x:c>
    </x:row>
    <x:row r="15" ht="105" customHeight="1">
      <x:c r="A15" s="263" t="s">
        <x:v>199</x:v>
      </x:c>
      <x:c r="B15" s="135" t="s">
        <x:v>462</x:v>
      </x:c>
      <x:c r="C15" s="135">
        <x:v>4</x:v>
      </x:c>
      <x:c r="D15" s="135" t="s">
        <x:v>463</x:v>
      </x:c>
      <x:c r="E15" s="135">
        <x:v>3</x:v>
      </x:c>
      <x:c r="F15" s="135" t="s">
        <x:v>464</x:v>
      </x:c>
      <x:c r="G15" s="135">
        <x:v>3</x:v>
      </x:c>
      <x:c r="H15" s="264">
        <x:v>10</x:v>
      </x:c>
    </x:row>
    <x:row r="16" ht="105" customHeight="1">
      <x:c r="A16" s="285" t="s">
        <x:v>204</x:v>
      </x:c>
      <x:c r="B16" s="146" t="s">
        <x:v>462</x:v>
      </x:c>
      <x:c r="C16" s="146">
        <x:v>4</x:v>
      </x:c>
      <x:c r="D16" s="146" t="s">
        <x:v>463</x:v>
      </x:c>
      <x:c r="E16" s="146">
        <x:v>3</x:v>
      </x:c>
      <x:c r="F16" s="146" t="s">
        <x:v>464</x:v>
      </x:c>
      <x:c r="G16" s="146">
        <x:v>3</x:v>
      </x:c>
      <x:c r="H16" s="286">
        <x:v>10</x:v>
      </x:c>
    </x:row>
    <x:row r="17" ht="105" customHeight="1">
      <x:c r="A17" s="263"/>
      <x:c r="B17" s="135"/>
      <x:c r="C17" s="135"/>
      <x:c r="D17" s="135"/>
      <x:c r="E17" s="135"/>
      <x:c r="F17" s="135"/>
      <x:c r="G17" s="135"/>
      <x:c r="H17" s="264"/>
    </x:row>
    <x:row r="18" ht="105" customHeight="1">
      <x:c r="A18" s="287" t="s">
        <x:v>465</x:v>
      </x:c>
      <x:c r="B18" s="136"/>
      <x:c r="C18" s="136"/>
      <x:c r="D18" s="136"/>
      <x:c r="E18" s="136"/>
      <x:c r="F18" s="136"/>
      <x:c r="G18" s="136"/>
      <x:c r="H18" s="288"/>
    </x:row>
    <x:row r="19" ht="105" customHeight="1">
      <x:c r="A19" s="289" t="s">
        <x:v>466</x:v>
      </x:c>
      <x:c r="B19" s="138" t="s">
        <x:v>467</x:v>
      </x:c>
      <x:c r="C19" s="138" t="s">
        <x:v>217</x:v>
      </x:c>
      <x:c r="D19" s="139" t="s">
        <x:v>25</x:v>
      </x:c>
      <x:c r="E19" s="135"/>
      <x:c r="F19" s="135"/>
      <x:c r="G19" s="135"/>
      <x:c r="H19" s="264"/>
    </x:row>
    <x:row r="20" ht="105" customHeight="1">
      <x:c r="A20" s="290" t="s">
        <x:v>468</x:v>
      </x:c>
      <x:c r="B20" s="141" t="s">
        <x:v>469</x:v>
      </x:c>
      <x:c r="C20" s="142" t="s">
        <x:v>470</x:v>
      </x:c>
      <x:c r="D20" s="142"/>
      <x:c r="E20" s="135"/>
      <x:c r="F20" s="135"/>
      <x:c r="G20" s="135"/>
      <x:c r="H20" s="264"/>
    </x:row>
    <x:row r="21" ht="105" customHeight="1">
      <x:c r="A21" s="263" t="s">
        <x:v>471</x:v>
      </x:c>
      <x:c r="B21" s="135" t="s">
        <x:v>472</x:v>
      </x:c>
      <x:c r="C21" s="144" t="s">
        <x:v>473</x:v>
      </x:c>
      <x:c r="D21" s="144"/>
      <x:c r="E21" s="135"/>
      <x:c r="F21" s="135"/>
      <x:c r="G21" s="135"/>
      <x:c r="H21" s="264"/>
    </x:row>
    <x:row r="22" ht="105" customHeight="1">
      <x:c r="A22" s="263" t="s">
        <x:v>474</x:v>
      </x:c>
      <x:c r="B22" s="135" t="s">
        <x:v>475</x:v>
      </x:c>
      <x:c r="C22" s="144" t="s">
        <x:v>476</x:v>
      </x:c>
      <x:c r="D22" s="144"/>
      <x:c r="E22" s="135"/>
      <x:c r="F22" s="135"/>
      <x:c r="G22" s="135"/>
      <x:c r="H22" s="264"/>
    </x:row>
    <x:row r="23" ht="105" customHeight="1">
      <x:c r="A23" s="265" t="s">
        <x:v>477</x:v>
      </x:c>
      <x:c r="B23" s="266" t="s">
        <x:v>478</x:v>
      </x:c>
      <x:c r="C23" s="291" t="s">
        <x:v>479</x:v>
      </x:c>
      <x:c r="D23" s="291"/>
      <x:c r="E23" s="266"/>
      <x:c r="F23" s="266"/>
      <x:c r="G23" s="266"/>
      <x:c r="H23" s="268"/>
    </x:row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C22:D22"/>
    <x:mergeCell ref="C23:D23"/>
    <x:mergeCell ref="A18:H18"/>
    <x:mergeCell ref="C20:D20"/>
    <x:mergeCell ref="C21:D21"/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16" hidden="0" customWidth="1"/>
    <x:col min="3" max="3" width="34" hidden="0" customWidth="1"/>
    <x:col min="4" max="4" width="18" hidden="0" customWidth="1"/>
    <x:col min="5" max="6" width="14" customWidth="1"/>
    <x:col min="7" max="7" width="46" hidden="0" customWidth="1"/>
    <x:col min="8" max="8" width="42" hidden="0" customWidth="1"/>
    <x:col min="5" max="5" width="14" hidden="0" customWidth="1"/>
    <x:col min="6" max="6" width="14" hidden="0" customWidth="1"/>
  </x:cols>
  <x:sheetData>
    <x:row r="1" ht="28" customHeight="1">
      <x:c r="A1" s="181" t="s">
        <x:v>480</x:v>
      </x:c>
      <x:c r="B1" s="181"/>
      <x:c r="C1" s="181"/>
      <x:c r="D1" s="181"/>
      <x:c r="E1" s="181"/>
      <x:c r="F1" s="181"/>
      <x:c r="G1" s="181"/>
      <x:c r="H1" s="181"/>
    </x:row>
    <x:row r="2" ht="30" customHeight="1">
      <x:c r="A2" s="187" t="s">
        <x:v>481</x:v>
      </x:c>
      <x:c r="B2" s="187"/>
      <x:c r="C2" s="187"/>
      <x:c r="D2" s="187"/>
      <x:c r="E2" s="187"/>
      <x:c r="F2" s="187"/>
      <x:c r="G2" s="187"/>
      <x:c r="H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</x:row>
    <x:row r="4" ht="32" customHeight="1">
      <x:c r="A4" s="253" t="s">
        <x:v>112</x:v>
      </x:c>
      <x:c r="B4" s="254" t="s">
        <x:v>113</x:v>
      </x:c>
      <x:c r="C4" s="254" t="s">
        <x:v>482</x:v>
      </x:c>
      <x:c r="D4" s="254" t="s">
        <x:v>483</x:v>
      </x:c>
      <x:c r="E4" s="254" t="s">
        <x:v>484</x:v>
      </x:c>
      <x:c r="F4" s="254" t="s">
        <x:v>485</x:v>
      </x:c>
      <x:c r="G4" s="254" t="s">
        <x:v>486</x:v>
      </x:c>
      <x:c r="H4" s="255" t="s">
        <x:v>25</x:v>
      </x:c>
    </x:row>
    <x:row r="5" ht="105" customHeight="1">
      <x:c r="A5" s="259" t="s">
        <x:v>121</x:v>
      </x:c>
      <x:c r="B5" s="260" t="s">
        <x:v>122</x:v>
      </x:c>
      <x:c r="C5" s="260" t="s">
        <x:v>127</x:v>
      </x:c>
      <x:c r="D5" s="260" t="s">
        <x:v>487</x:v>
      </x:c>
      <x:c r="E5" s="260" t="s">
        <x:v>488</x:v>
      </x:c>
      <x:c r="F5" s="299" t="s">
        <x:v>489</x:v>
      </x:c>
      <x:c r="G5" s="260" t="s">
        <x:v>490</x:v>
      </x:c>
      <x:c r="H5" s="262" t="s">
        <x:v>491</x:v>
      </x:c>
    </x:row>
    <x:row r="6" ht="105" customHeight="1">
      <x:c r="A6" s="263" t="s">
        <x:v>132</x:v>
      </x:c>
      <x:c r="B6" s="135" t="s">
        <x:v>122</x:v>
      </x:c>
      <x:c r="C6" s="135" t="s">
        <x:v>136</x:v>
      </x:c>
      <x:c r="D6" s="135" t="s">
        <x:v>487</x:v>
      </x:c>
      <x:c r="E6" s="135" t="s">
        <x:v>488</x:v>
      </x:c>
      <x:c r="F6" s="150" t="s">
        <x:v>489</x:v>
      </x:c>
      <x:c r="G6" s="135" t="s">
        <x:v>492</x:v>
      </x:c>
      <x:c r="H6" s="264" t="s">
        <x:v>491</x:v>
      </x:c>
    </x:row>
    <x:row r="7" ht="105" customHeight="1">
      <x:c r="A7" s="263" t="s">
        <x:v>139</x:v>
      </x:c>
      <x:c r="B7" s="135" t="s">
        <x:v>122</x:v>
      </x:c>
      <x:c r="C7" s="135" t="s">
        <x:v>143</x:v>
      </x:c>
      <x:c r="D7" s="135" t="s">
        <x:v>487</x:v>
      </x:c>
      <x:c r="E7" s="135" t="s">
        <x:v>488</x:v>
      </x:c>
      <x:c r="F7" s="150" t="s">
        <x:v>489</x:v>
      </x:c>
      <x:c r="G7" s="135" t="s">
        <x:v>493</x:v>
      </x:c>
      <x:c r="H7" s="264" t="s">
        <x:v>491</x:v>
      </x:c>
    </x:row>
    <x:row r="8" ht="105" customHeight="1">
      <x:c r="A8" s="263" t="s">
        <x:v>146</x:v>
      </x:c>
      <x:c r="B8" s="135" t="s">
        <x:v>147</x:v>
      </x:c>
      <x:c r="C8" s="135" t="s">
        <x:v>152</x:v>
      </x:c>
      <x:c r="D8" s="135" t="s">
        <x:v>494</x:v>
      </x:c>
      <x:c r="E8" s="135" t="s">
        <x:v>488</x:v>
      </x:c>
      <x:c r="F8" s="150" t="s">
        <x:v>488</x:v>
      </x:c>
      <x:c r="G8" s="135" t="s">
        <x:v>495</x:v>
      </x:c>
      <x:c r="H8" s="264" t="s">
        <x:v>496</x:v>
      </x:c>
    </x:row>
    <x:row r="9" ht="105" customHeight="1">
      <x:c r="A9" s="263" t="s">
        <x:v>156</x:v>
      </x:c>
      <x:c r="B9" s="135" t="s">
        <x:v>147</x:v>
      </x:c>
      <x:c r="C9" s="135" t="s">
        <x:v>160</x:v>
      </x:c>
      <x:c r="D9" s="135" t="s">
        <x:v>494</x:v>
      </x:c>
      <x:c r="E9" s="135" t="s">
        <x:v>488</x:v>
      </x:c>
      <x:c r="F9" s="150" t="s">
        <x:v>489</x:v>
      </x:c>
      <x:c r="G9" s="135" t="s">
        <x:v>497</x:v>
      </x:c>
      <x:c r="H9" s="264" t="s">
        <x:v>498</x:v>
      </x:c>
    </x:row>
    <x:row r="10" ht="105" customHeight="1">
      <x:c r="A10" s="263" t="s">
        <x:v>164</x:v>
      </x:c>
      <x:c r="B10" s="135" t="s">
        <x:v>147</x:v>
      </x:c>
      <x:c r="C10" s="135" t="s">
        <x:v>168</x:v>
      </x:c>
      <x:c r="D10" s="135" t="s">
        <x:v>494</x:v>
      </x:c>
      <x:c r="E10" s="135" t="s">
        <x:v>488</x:v>
      </x:c>
      <x:c r="F10" s="150" t="s">
        <x:v>489</x:v>
      </x:c>
      <x:c r="G10" s="135" t="s">
        <x:v>499</x:v>
      </x:c>
      <x:c r="H10" s="264" t="s">
        <x:v>491</x:v>
      </x:c>
    </x:row>
    <x:row r="11" ht="105" customHeight="1">
      <x:c r="A11" s="263" t="s">
        <x:v>170</x:v>
      </x:c>
      <x:c r="B11" s="135" t="s">
        <x:v>171</x:v>
      </x:c>
      <x:c r="C11" s="135" t="s">
        <x:v>176</x:v>
      </x:c>
      <x:c r="D11" s="135" t="s">
        <x:v>487</x:v>
      </x:c>
      <x:c r="E11" s="135" t="s">
        <x:v>488</x:v>
      </x:c>
      <x:c r="F11" s="150" t="s">
        <x:v>488</x:v>
      </x:c>
      <x:c r="G11" s="135" t="s">
        <x:v>500</x:v>
      </x:c>
      <x:c r="H11" s="264" t="s">
        <x:v>501</x:v>
      </x:c>
    </x:row>
    <x:row r="12" ht="105" customHeight="1">
      <x:c r="A12" s="263" t="s">
        <x:v>177</x:v>
      </x:c>
      <x:c r="B12" s="135" t="s">
        <x:v>171</x:v>
      </x:c>
      <x:c r="C12" s="135" t="s">
        <x:v>182</x:v>
      </x:c>
      <x:c r="D12" s="135" t="s">
        <x:v>487</x:v>
      </x:c>
      <x:c r="E12" s="135" t="s">
        <x:v>488</x:v>
      </x:c>
      <x:c r="F12" s="150" t="s">
        <x:v>489</x:v>
      </x:c>
      <x:c r="G12" s="135" t="s">
        <x:v>502</x:v>
      </x:c>
      <x:c r="H12" s="264" t="s">
        <x:v>491</x:v>
      </x:c>
    </x:row>
    <x:row r="13" ht="105" customHeight="1">
      <x:c r="A13" s="263" t="s">
        <x:v>184</x:v>
      </x:c>
      <x:c r="B13" s="135" t="s">
        <x:v>171</x:v>
      </x:c>
      <x:c r="C13" s="135" t="s">
        <x:v>189</x:v>
      </x:c>
      <x:c r="D13" s="135" t="s">
        <x:v>487</x:v>
      </x:c>
      <x:c r="E13" s="135" t="s">
        <x:v>488</x:v>
      </x:c>
      <x:c r="F13" s="150" t="s">
        <x:v>488</x:v>
      </x:c>
      <x:c r="G13" s="135" t="s">
        <x:v>503</x:v>
      </x:c>
      <x:c r="H13" s="264" t="s">
        <x:v>504</x:v>
      </x:c>
    </x:row>
    <x:row r="14" ht="105" customHeight="1">
      <x:c r="A14" s="263" t="s">
        <x:v>192</x:v>
      </x:c>
      <x:c r="B14" s="135" t="s">
        <x:v>193</x:v>
      </x:c>
      <x:c r="C14" s="135" t="s">
        <x:v>197</x:v>
      </x:c>
      <x:c r="D14" s="135" t="s">
        <x:v>505</x:v>
      </x:c>
      <x:c r="E14" s="135" t="s">
        <x:v>488</x:v>
      </x:c>
      <x:c r="F14" s="150" t="s">
        <x:v>488</x:v>
      </x:c>
      <x:c r="G14" s="135" t="s">
        <x:v>506</x:v>
      </x:c>
      <x:c r="H14" s="264" t="s">
        <x:v>507</x:v>
      </x:c>
    </x:row>
    <x:row r="15" ht="105" customHeight="1">
      <x:c r="A15" s="263" t="s">
        <x:v>199</x:v>
      </x:c>
      <x:c r="B15" s="135" t="s">
        <x:v>193</x:v>
      </x:c>
      <x:c r="C15" s="135" t="s">
        <x:v>203</x:v>
      </x:c>
      <x:c r="D15" s="135" t="s">
        <x:v>505</x:v>
      </x:c>
      <x:c r="E15" s="135" t="s">
        <x:v>488</x:v>
      </x:c>
      <x:c r="F15" s="150" t="s">
        <x:v>489</x:v>
      </x:c>
      <x:c r="G15" s="135" t="s">
        <x:v>508</x:v>
      </x:c>
      <x:c r="H15" s="264" t="s">
        <x:v>509</x:v>
      </x:c>
    </x:row>
    <x:row r="16" ht="105" customHeight="1">
      <x:c r="A16" s="265" t="s">
        <x:v>204</x:v>
      </x:c>
      <x:c r="B16" s="266" t="s">
        <x:v>193</x:v>
      </x:c>
      <x:c r="C16" s="266" t="s">
        <x:v>208</x:v>
      </x:c>
      <x:c r="D16" s="266" t="s">
        <x:v>505</x:v>
      </x:c>
      <x:c r="E16" s="266" t="s">
        <x:v>488</x:v>
      </x:c>
      <x:c r="F16" s="300" t="s">
        <x:v>489</x:v>
      </x:c>
      <x:c r="G16" s="266" t="s">
        <x:v>510</x:v>
      </x:c>
      <x:c r="H16" s="268" t="s">
        <x:v>509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H1"/>
    <x:mergeCell ref="A2:H2"/>
  </x:mergeCells>
  <x:dataValidations count="1">
    <x:dataValidation type="list" sqref="E5:F16">
      <x:formula1>"Y,N"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2" width="10" customWidth="1"/>
    <x:col min="3" max="3" width="14" hidden="0" customWidth="1"/>
    <x:col min="4" max="4" width="28" hidden="0" customWidth="1"/>
    <x:col min="5" max="5" width="12" hidden="0" customWidth="1"/>
    <x:col min="6" max="6" width="14" hidden="0" customWidth="1"/>
    <x:col min="7" max="7" width="16" hidden="0" customWidth="1"/>
    <x:col min="8" max="8" width="30" hidden="0" customWidth="1"/>
    <x:col min="9" max="9" width="38" hidden="0" customWidth="1"/>
    <x:col min="10" max="10" width="64" hidden="0" customWidth="1"/>
    <x:col min="1" max="1" width="12" hidden="0" customWidth="1"/>
    <x:col min="2" max="2" width="12" hidden="0" customWidth="1"/>
  </x:cols>
  <x:sheetData>
    <x:row r="1" ht="28" customHeight="1">
      <x:c r="A1" s="181" t="s">
        <x:v>511</x:v>
      </x:c>
      <x:c r="B1" s="181"/>
      <x:c r="C1" s="181"/>
      <x:c r="D1" s="181"/>
      <x:c r="E1" s="181"/>
      <x:c r="F1" s="181"/>
      <x:c r="G1" s="181"/>
      <x:c r="H1" s="181"/>
      <x:c r="I1" s="181"/>
      <x:c r="J1" s="181"/>
    </x:row>
    <x:row r="2" ht="15" customHeight="1">
      <x:c r="A2" s="134"/>
      <x:c r="B2" s="134"/>
      <x:c r="C2" s="134"/>
      <x:c r="D2" s="134"/>
      <x:c r="E2" s="134"/>
      <x:c r="F2" s="134"/>
      <x:c r="G2" s="134"/>
      <x:c r="H2" s="134"/>
      <x:c r="I2" s="134"/>
      <x:c r="J2" s="134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  <x:c r="I3" s="135"/>
      <x:c r="J3" s="135"/>
    </x:row>
    <x:row r="4" ht="32" customHeight="1">
      <x:c r="A4" s="253" t="s">
        <x:v>512</x:v>
      </x:c>
      <x:c r="B4" s="254" t="s">
        <x:v>112</x:v>
      </x:c>
      <x:c r="C4" s="254" t="s">
        <x:v>513</x:v>
      </x:c>
      <x:c r="D4" s="254" t="s">
        <x:v>514</x:v>
      </x:c>
      <x:c r="E4" s="254" t="s">
        <x:v>515</x:v>
      </x:c>
      <x:c r="F4" s="254" t="s">
        <x:v>516</x:v>
      </x:c>
      <x:c r="G4" s="254" t="s">
        <x:v>517</x:v>
      </x:c>
      <x:c r="H4" s="254" t="s">
        <x:v>518</x:v>
      </x:c>
      <x:c r="I4" s="254" t="s">
        <x:v>519</x:v>
      </x:c>
      <x:c r="J4" s="255" t="s">
        <x:v>25</x:v>
      </x:c>
    </x:row>
    <x:row r="5" ht="60" hidden="0" customHeight="1">
      <x:c r="A5" s="259" t="s">
        <x:v>520</x:v>
      </x:c>
      <x:c r="B5" s="260" t="s">
        <x:v>121</x:v>
      </x:c>
      <x:c r="C5" s="299" t="s">
        <x:v>521</x:v>
      </x:c>
      <x:c r="D5" s="260" t="s">
        <x:v>522</x:v>
      </x:c>
      <x:c r="E5" s="260" t="s">
        <x:v>488</x:v>
      </x:c>
      <x:c r="F5" s="260">
        <x:v>3</x:v>
      </x:c>
      <x:c r="G5" s="260" t="s">
        <x:v>488</x:v>
      </x:c>
      <x:c r="H5" s="260" t="s">
        <x:v>130</x:v>
      </x:c>
      <x:c r="I5" s="260" t="s">
        <x:v>523</x:v>
      </x:c>
      <x:c r="J5" s="262" t="s">
        <x:v>524</x:v>
      </x:c>
    </x:row>
    <x:row r="6" ht="60" hidden="0" customHeight="1">
      <x:c r="A6" s="263" t="s">
        <x:v>525</x:v>
      </x:c>
      <x:c r="B6" s="135" t="s">
        <x:v>132</x:v>
      </x:c>
      <x:c r="C6" s="150" t="s">
        <x:v>521</x:v>
      </x:c>
      <x:c r="D6" s="135" t="s">
        <x:v>522</x:v>
      </x:c>
      <x:c r="E6" s="135" t="s">
        <x:v>488</x:v>
      </x:c>
      <x:c r="F6" s="135">
        <x:v>3</x:v>
      </x:c>
      <x:c r="G6" s="135" t="s">
        <x:v>488</x:v>
      </x:c>
      <x:c r="H6" s="135" t="s">
        <x:v>137</x:v>
      </x:c>
      <x:c r="I6" s="135" t="s">
        <x:v>523</x:v>
      </x:c>
      <x:c r="J6" s="264" t="s">
        <x:v>526</x:v>
      </x:c>
    </x:row>
    <x:row r="7" ht="60" hidden="0" customHeight="1">
      <x:c r="A7" s="263" t="s">
        <x:v>527</x:v>
      </x:c>
      <x:c r="B7" s="135" t="s">
        <x:v>139</x:v>
      </x:c>
      <x:c r="C7" s="150" t="s">
        <x:v>521</x:v>
      </x:c>
      <x:c r="D7" s="135" t="s">
        <x:v>522</x:v>
      </x:c>
      <x:c r="E7" s="135" t="s">
        <x:v>488</x:v>
      </x:c>
      <x:c r="F7" s="135">
        <x:v>1</x:v>
      </x:c>
      <x:c r="G7" s="135" t="s">
        <x:v>488</x:v>
      </x:c>
      <x:c r="H7" s="135" t="s">
        <x:v>144</x:v>
      </x:c>
      <x:c r="I7" s="135" t="s">
        <x:v>523</x:v>
      </x:c>
      <x:c r="J7" s="264" t="s">
        <x:v>528</x:v>
      </x:c>
    </x:row>
    <x:row r="8" ht="60" hidden="0" customHeight="1">
      <x:c r="A8" s="263" t="s">
        <x:v>529</x:v>
      </x:c>
      <x:c r="B8" s="135" t="s">
        <x:v>146</x:v>
      </x:c>
      <x:c r="C8" s="150" t="s">
        <x:v>521</x:v>
      </x:c>
      <x:c r="D8" s="135" t="s">
        <x:v>522</x:v>
      </x:c>
      <x:c r="E8" s="135" t="s">
        <x:v>488</x:v>
      </x:c>
      <x:c r="F8" s="135">
        <x:v>2</x:v>
      </x:c>
      <x:c r="G8" s="135" t="s">
        <x:v>488</x:v>
      </x:c>
      <x:c r="H8" s="135" t="s">
        <x:v>530</x:v>
      </x:c>
      <x:c r="I8" s="135" t="s">
        <x:v>531</x:v>
      </x:c>
      <x:c r="J8" s="264" t="s">
        <x:v>532</x:v>
      </x:c>
    </x:row>
    <x:row r="9" ht="60" hidden="0" customHeight="1">
      <x:c r="A9" s="263" t="s">
        <x:v>533</x:v>
      </x:c>
      <x:c r="B9" s="135" t="s">
        <x:v>156</x:v>
      </x:c>
      <x:c r="C9" s="150" t="s">
        <x:v>521</x:v>
      </x:c>
      <x:c r="D9" s="135" t="s">
        <x:v>522</x:v>
      </x:c>
      <x:c r="E9" s="135" t="s">
        <x:v>488</x:v>
      </x:c>
      <x:c r="F9" s="135" t="s">
        <x:v>534</x:v>
      </x:c>
      <x:c r="G9" s="135" t="s">
        <x:v>488</x:v>
      </x:c>
      <x:c r="H9" s="135" t="s">
        <x:v>535</x:v>
      </x:c>
      <x:c r="I9" s="135" t="s">
        <x:v>523</x:v>
      </x:c>
      <x:c r="J9" s="264" t="s">
        <x:v>536</x:v>
      </x:c>
    </x:row>
    <x:row r="10" ht="60" hidden="0" customHeight="1">
      <x:c r="A10" s="263" t="s">
        <x:v>537</x:v>
      </x:c>
      <x:c r="B10" s="135" t="s">
        <x:v>164</x:v>
      </x:c>
      <x:c r="C10" s="150" t="s">
        <x:v>521</x:v>
      </x:c>
      <x:c r="D10" s="135" t="s">
        <x:v>522</x:v>
      </x:c>
      <x:c r="E10" s="135" t="s">
        <x:v>488</x:v>
      </x:c>
      <x:c r="F10" s="135">
        <x:v>4</x:v>
      </x:c>
      <x:c r="G10" s="135" t="s">
        <x:v>488</x:v>
      </x:c>
      <x:c r="H10" s="135" t="s">
        <x:v>137</x:v>
      </x:c>
      <x:c r="I10" s="135" t="s">
        <x:v>523</x:v>
      </x:c>
      <x:c r="J10" s="264" t="s">
        <x:v>538</x:v>
      </x:c>
    </x:row>
    <x:row r="11" ht="60" hidden="0" customHeight="1">
      <x:c r="A11" s="263" t="s">
        <x:v>539</x:v>
      </x:c>
      <x:c r="B11" s="135" t="s">
        <x:v>170</x:v>
      </x:c>
      <x:c r="C11" s="150" t="s">
        <x:v>521</x:v>
      </x:c>
      <x:c r="D11" s="135" t="s">
        <x:v>522</x:v>
      </x:c>
      <x:c r="E11" s="135" t="s">
        <x:v>488</x:v>
      </x:c>
      <x:c r="F11" s="135">
        <x:v>5</x:v>
      </x:c>
      <x:c r="G11" s="135" t="s">
        <x:v>488</x:v>
      </x:c>
      <x:c r="H11" s="135" t="s">
        <x:v>137</x:v>
      </x:c>
      <x:c r="I11" s="135" t="s">
        <x:v>540</x:v>
      </x:c>
      <x:c r="J11" s="264" t="s">
        <x:v>541</x:v>
      </x:c>
    </x:row>
    <x:row r="12" ht="60" hidden="0" customHeight="1">
      <x:c r="A12" s="263" t="s">
        <x:v>542</x:v>
      </x:c>
      <x:c r="B12" s="135" t="s">
        <x:v>177</x:v>
      </x:c>
      <x:c r="C12" s="150" t="s">
        <x:v>521</x:v>
      </x:c>
      <x:c r="D12" s="135" t="s">
        <x:v>522</x:v>
      </x:c>
      <x:c r="E12" s="135" t="s">
        <x:v>488</x:v>
      </x:c>
      <x:c r="F12" s="135">
        <x:v>1</x:v>
      </x:c>
      <x:c r="G12" s="135" t="s">
        <x:v>488</x:v>
      </x:c>
      <x:c r="H12" s="135" t="s">
        <x:v>183</x:v>
      </x:c>
      <x:c r="I12" s="135" t="s">
        <x:v>523</x:v>
      </x:c>
      <x:c r="J12" s="264" t="s">
        <x:v>543</x:v>
      </x:c>
    </x:row>
    <x:row r="13" ht="60" hidden="0" customHeight="1">
      <x:c r="A13" s="263" t="s">
        <x:v>544</x:v>
      </x:c>
      <x:c r="B13" s="135" t="s">
        <x:v>184</x:v>
      </x:c>
      <x:c r="C13" s="150" t="s">
        <x:v>521</x:v>
      </x:c>
      <x:c r="D13" s="135" t="s">
        <x:v>522</x:v>
      </x:c>
      <x:c r="E13" s="135" t="s">
        <x:v>488</x:v>
      </x:c>
      <x:c r="F13" s="135">
        <x:v>2</x:v>
      </x:c>
      <x:c r="G13" s="135" t="s">
        <x:v>488</x:v>
      </x:c>
      <x:c r="H13" s="135" t="s">
        <x:v>183</x:v>
      </x:c>
      <x:c r="I13" s="135" t="s">
        <x:v>545</x:v>
      </x:c>
      <x:c r="J13" s="264" t="s">
        <x:v>546</x:v>
      </x:c>
    </x:row>
    <x:row r="14" ht="60" hidden="0" customHeight="1">
      <x:c r="A14" s="263" t="s">
        <x:v>547</x:v>
      </x:c>
      <x:c r="B14" s="135" t="s">
        <x:v>192</x:v>
      </x:c>
      <x:c r="C14" s="150" t="s">
        <x:v>521</x:v>
      </x:c>
      <x:c r="D14" s="135" t="s">
        <x:v>522</x:v>
      </x:c>
      <x:c r="E14" s="135" t="s">
        <x:v>488</x:v>
      </x:c>
      <x:c r="F14" s="135">
        <x:v>0</x:v>
      </x:c>
      <x:c r="G14" s="135" t="s">
        <x:v>488</x:v>
      </x:c>
      <x:c r="H14" s="135" t="s">
        <x:v>198</x:v>
      </x:c>
      <x:c r="I14" s="135" t="s">
        <x:v>548</x:v>
      </x:c>
      <x:c r="J14" s="264" t="s">
        <x:v>549</x:v>
      </x:c>
    </x:row>
    <x:row r="15" ht="60" hidden="0" customHeight="1">
      <x:c r="A15" s="263" t="s">
        <x:v>550</x:v>
      </x:c>
      <x:c r="B15" s="135" t="s">
        <x:v>199</x:v>
      </x:c>
      <x:c r="C15" s="150" t="s">
        <x:v>521</x:v>
      </x:c>
      <x:c r="D15" s="135" t="s">
        <x:v>522</x:v>
      </x:c>
      <x:c r="E15" s="135" t="s">
        <x:v>488</x:v>
      </x:c>
      <x:c r="F15" s="135">
        <x:v>1</x:v>
      </x:c>
      <x:c r="G15" s="135" t="s">
        <x:v>489</x:v>
      </x:c>
      <x:c r="H15" s="135" t="s">
        <x:v>144</x:v>
      </x:c>
      <x:c r="I15" s="135" t="s">
        <x:v>523</x:v>
      </x:c>
      <x:c r="J15" s="264" t="s">
        <x:v>551</x:v>
      </x:c>
    </x:row>
    <x:row r="16" ht="60" hidden="0" customHeight="1">
      <x:c r="A16" s="265" t="s">
        <x:v>552</x:v>
      </x:c>
      <x:c r="B16" s="266" t="s">
        <x:v>204</x:v>
      </x:c>
      <x:c r="C16" s="300" t="s">
        <x:v>521</x:v>
      </x:c>
      <x:c r="D16" s="266" t="s">
        <x:v>522</x:v>
      </x:c>
      <x:c r="E16" s="266" t="s">
        <x:v>488</x:v>
      </x:c>
      <x:c r="F16" s="266">
        <x:v>3</x:v>
      </x:c>
      <x:c r="G16" s="266" t="s">
        <x:v>489</x:v>
      </x:c>
      <x:c r="H16" s="266" t="s">
        <x:v>210</x:v>
      </x:c>
      <x:c r="I16" s="266" t="s">
        <x:v>523</x:v>
      </x:c>
      <x:c r="J16" s="268" t="s">
        <x:v>553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2:J2"/>
    <x:mergeCell ref="A1:J1"/>
  </x:mergeCells>
  <x:conditionalFormatting sqref="H5:H16">
    <x:cfRule type="expression" dxfId="17" priority="1">
      <x:formula>OR(ISNUMBER(SEARCH("PASS",H5)),ISNUMBER(SEARCH("ĐẠT",H5)),ISNUMBER(SEARCH("DONE",H5)),ISNUMBER(SEARCH("Y",H5)))</x:formula>
    </x:cfRule>
    <x:cfRule type="expression" dxfId="18" priority="2">
      <x:formula>OR(ISNUMBER(SEARCH("BLOCKED",H5)),ISNUMBER(SEARCH("NO-GO",H5)),ISNUMBER(SEARCH("CHƯA",H5)),ISNUMBER(SEARCH("N",H5)))</x:formula>
    </x:cfRule>
    <x:cfRule type="expression" dxfId="19" priority="3">
      <x:formula>OR(ISNUMBER(SEARCH("PHẦN",H5)),ISNUMBER(SEARCH("PROGRESS",H5)),ISNUMBER(SEARCH("CANDIDATE",H5)),ISNUMBER(SEARCH("ỨNG VIÊN",H5)))</x:formula>
    </x:cfRule>
  </x:conditionalFormatting>
  <x:dataValidations count="2">
    <x:dataValidation type="list" sqref="E5:E16 G5:G16">
      <x:formula1>"Y,N"</x:formula1>
      <x:formula2>0</x:formula2>
    </x:dataValidation>
    <x:dataValidation type="list" sqref="H5:H16">
      <x:formula1>"NOT RUN,PASS,FAIL,BLOCKED"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8" hidden="0" customWidth="1"/>
    <x:col min="2" max="2" width="28" hidden="0" customWidth="1"/>
    <x:col min="3" max="4" width="42" customWidth="1"/>
    <x:col min="5" max="5" width="42" hidden="0" customWidth="1"/>
    <x:col min="6" max="6" width="42" hidden="0" customWidth="1"/>
    <x:col min="7" max="7" width="48" hidden="0" customWidth="1"/>
    <x:col min="3" max="3" width="38" hidden="0" customWidth="1"/>
    <x:col min="4" max="4" width="42" hidden="0" customWidth="1"/>
  </x:cols>
  <x:sheetData>
    <x:row r="1" ht="28" customHeight="1">
      <x:c r="A1" s="181" t="s">
        <x:v>554</x:v>
      </x:c>
      <x:c r="B1" s="181"/>
      <x:c r="C1" s="181"/>
      <x:c r="D1" s="181"/>
      <x:c r="E1" s="181"/>
      <x:c r="F1" s="181"/>
      <x:c r="G1" s="181"/>
    </x:row>
    <x:row r="2" ht="30" customHeight="1">
      <x:c r="A2" s="187" t="s">
        <x:v>555</x:v>
      </x:c>
      <x:c r="B2" s="187"/>
      <x:c r="C2" s="187"/>
      <x:c r="D2" s="187"/>
      <x:c r="E2" s="187"/>
      <x:c r="F2" s="187"/>
      <x:c r="G2" s="187"/>
    </x:row>
    <x:row r="3" ht="14.25" customHeight="1">
      <x:c r="A3" s="135"/>
      <x:c r="B3" s="135"/>
      <x:c r="C3" s="135"/>
      <x:c r="D3" s="135"/>
      <x:c r="E3" s="135"/>
      <x:c r="F3" s="135"/>
      <x:c r="G3" s="135"/>
    </x:row>
    <x:row r="4" ht="30" customHeight="1">
      <x:c r="A4" s="247" t="s">
        <x:v>556</x:v>
      </x:c>
      <x:c r="B4" s="248" t="s">
        <x:v>557</x:v>
      </x:c>
      <x:c r="C4" s="248" t="s">
        <x:v>558</x:v>
      </x:c>
      <x:c r="D4" s="248" t="s">
        <x:v>559</x:v>
      </x:c>
      <x:c r="E4" s="248" t="s">
        <x:v>560</x:v>
      </x:c>
      <x:c r="F4" s="248" t="s">
        <x:v>561</x:v>
      </x:c>
      <x:c r="G4" s="249" t="s">
        <x:v>519</x:v>
      </x:c>
    </x:row>
    <x:row r="5" ht="48" hidden="0" customHeight="1">
      <x:c r="A5" s="259">
        <x:v>1</x:v>
      </x:c>
      <x:c r="B5" s="260" t="s">
        <x:v>562</x:v>
      </x:c>
      <x:c r="C5" s="260" t="s">
        <x:v>563</x:v>
      </x:c>
      <x:c r="D5" s="260" t="s">
        <x:v>564</x:v>
      </x:c>
      <x:c r="E5" s="299" t="s">
        <x:v>565</x:v>
      </x:c>
      <x:c r="F5" s="260" t="s">
        <x:v>566</x:v>
      </x:c>
      <x:c r="G5" s="262" t="s">
        <x:v>567</x:v>
      </x:c>
    </x:row>
    <x:row r="6" ht="48" hidden="0" customHeight="1">
      <x:c r="A6" s="263">
        <x:v>2</x:v>
      </x:c>
      <x:c r="B6" s="135" t="s">
        <x:v>568</x:v>
      </x:c>
      <x:c r="C6" s="135" t="s">
        <x:v>569</x:v>
      </x:c>
      <x:c r="D6" s="135" t="s">
        <x:v>570</x:v>
      </x:c>
      <x:c r="E6" s="150" t="s">
        <x:v>571</x:v>
      </x:c>
      <x:c r="F6" s="135" t="s">
        <x:v>572</x:v>
      </x:c>
      <x:c r="G6" s="264" t="s">
        <x:v>573</x:v>
      </x:c>
    </x:row>
    <x:row r="7" ht="48" hidden="0" customHeight="1">
      <x:c r="A7" s="263">
        <x:v>3</x:v>
      </x:c>
      <x:c r="B7" s="135" t="s">
        <x:v>574</x:v>
      </x:c>
      <x:c r="C7" s="135" t="s">
        <x:v>575</x:v>
      </x:c>
      <x:c r="D7" s="135" t="s">
        <x:v>576</x:v>
      </x:c>
      <x:c r="E7" s="150" t="s">
        <x:v>577</x:v>
      </x:c>
      <x:c r="F7" s="135" t="s">
        <x:v>578</x:v>
      </x:c>
      <x:c r="G7" s="264" t="s">
        <x:v>61</x:v>
      </x:c>
    </x:row>
    <x:row r="8" ht="48" hidden="0" customHeight="1">
      <x:c r="A8" s="263">
        <x:v>4</x:v>
      </x:c>
      <x:c r="B8" s="135" t="s">
        <x:v>579</x:v>
      </x:c>
      <x:c r="C8" s="135" t="s">
        <x:v>580</x:v>
      </x:c>
      <x:c r="D8" s="135" t="s">
        <x:v>581</x:v>
      </x:c>
      <x:c r="E8" s="150" t="s">
        <x:v>582</x:v>
      </x:c>
      <x:c r="F8" s="135" t="s">
        <x:v>583</x:v>
      </x:c>
      <x:c r="G8" s="264" t="s">
        <x:v>584</x:v>
      </x:c>
    </x:row>
    <x:row r="9" ht="48" hidden="0" customHeight="1">
      <x:c r="A9" s="285">
        <x:v>5</x:v>
      </x:c>
      <x:c r="B9" s="146" t="s">
        <x:v>585</x:v>
      </x:c>
      <x:c r="C9" s="146" t="s">
        <x:v>586</x:v>
      </x:c>
      <x:c r="D9" s="146" t="s">
        <x:v>587</x:v>
      </x:c>
      <x:c r="E9" s="152" t="s">
        <x:v>588</x:v>
      </x:c>
      <x:c r="F9" s="146" t="s">
        <x:v>589</x:v>
      </x:c>
      <x:c r="G9" s="286" t="s">
        <x:v>590</x:v>
      </x:c>
    </x:row>
    <x:row r="10" ht="48" hidden="0" customHeight="1">
      <x:c r="A10" s="285" t="s">
        <x:v>591</x:v>
      </x:c>
      <x:c r="B10" s="146" t="s">
        <x:v>592</x:v>
      </x:c>
      <x:c r="C10" s="146" t="s">
        <x:v>593</x:v>
      </x:c>
      <x:c r="D10" s="146" t="s">
        <x:v>594</x:v>
      </x:c>
      <x:c r="E10" s="152" t="s">
        <x:v>595</x:v>
      </x:c>
      <x:c r="F10" s="146" t="s">
        <x:v>596</x:v>
      </x:c>
      <x:c r="G10" s="286" t="s">
        <x:v>597</x:v>
      </x:c>
    </x:row>
    <x:row r="11" ht="48" hidden="0" customHeight="1">
      <x:c r="A11" s="265" t="s">
        <x:v>598</x:v>
      </x:c>
      <x:c r="B11" s="266" t="s">
        <x:v>599</x:v>
      </x:c>
      <x:c r="C11" s="266" t="s">
        <x:v>600</x:v>
      </x:c>
      <x:c r="D11" s="266" t="s">
        <x:v>601</x:v>
      </x:c>
      <x:c r="E11" s="300" t="s">
        <x:v>602</x:v>
      </x:c>
      <x:c r="F11" s="266" t="s">
        <x:v>603</x:v>
      </x:c>
      <x:c r="G11" s="268" t="s">
        <x:v>604</x:v>
      </x:c>
    </x:row>
    <x:row r="12" ht="48" hidden="0" customHeight="1">
      <x:c r="A12" s="353" t="s">
        <x:v>605</x:v>
      </x:c>
      <x:c r="B12" s="353"/>
      <x:c r="C12" s="353"/>
      <x:c r="D12" s="353"/>
      <x:c r="E12" s="353"/>
      <x:c r="F12" s="353"/>
      <x:c r="G12" s="353"/>
    </x:row>
    <x:row r="13" ht="48" hidden="0" customHeight="1">
      <x:c r="A13" s="247" t="s">
        <x:v>556</x:v>
      </x:c>
      <x:c r="B13" s="248" t="s">
        <x:v>606</x:v>
      </x:c>
      <x:c r="C13" s="248" t="s">
        <x:v>607</x:v>
      </x:c>
      <x:c r="D13" s="249" t="s">
        <x:v>50</x:v>
      </x:c>
      <x:c r="E13" s="135"/>
      <x:c r="F13" s="135"/>
      <x:c r="G13" s="135"/>
    </x:row>
    <x:row r="14" ht="48" hidden="0" customHeight="1">
      <x:c r="A14" s="259">
        <x:v>1</x:v>
      </x:c>
      <x:c r="B14" s="260" t="s">
        <x:v>608</x:v>
      </x:c>
      <x:c r="C14" s="299" t="s">
        <x:v>489</x:v>
      </x:c>
      <x:c r="D14" s="262"/>
      <x:c r="E14" s="135"/>
      <x:c r="F14" s="135"/>
      <x:c r="G14" s="135"/>
    </x:row>
    <x:row r="15" ht="48" hidden="0" customHeight="1">
      <x:c r="A15" s="263">
        <x:v>2</x:v>
      </x:c>
      <x:c r="B15" s="135" t="s">
        <x:v>609</x:v>
      </x:c>
      <x:c r="C15" s="150" t="s">
        <x:v>489</x:v>
      </x:c>
      <x:c r="D15" s="264"/>
      <x:c r="E15" s="135"/>
      <x:c r="F15" s="135"/>
      <x:c r="G15" s="135"/>
    </x:row>
    <x:row r="16" ht="48" hidden="0" customHeight="1">
      <x:c r="A16" s="263">
        <x:v>3</x:v>
      </x:c>
      <x:c r="B16" s="135" t="s">
        <x:v>610</x:v>
      </x:c>
      <x:c r="C16" s="150" t="s">
        <x:v>489</x:v>
      </x:c>
      <x:c r="D16" s="264" t="s">
        <x:v>611</x:v>
      </x:c>
      <x:c r="E16" s="135"/>
      <x:c r="F16" s="135"/>
      <x:c r="G16" s="135"/>
    </x:row>
    <x:row r="17" ht="48" hidden="0" customHeight="1">
      <x:c r="A17" s="263">
        <x:v>4</x:v>
      </x:c>
      <x:c r="B17" s="135" t="s">
        <x:v>612</x:v>
      </x:c>
      <x:c r="C17" s="150" t="s">
        <x:v>489</x:v>
      </x:c>
      <x:c r="D17" s="264"/>
      <x:c r="E17" s="135"/>
      <x:c r="F17" s="135"/>
      <x:c r="G17" s="135"/>
    </x:row>
    <x:row r="18" ht="48" hidden="0" customHeight="1">
      <x:c r="A18" s="265">
        <x:v>5</x:v>
      </x:c>
      <x:c r="B18" s="266" t="s">
        <x:v>613</x:v>
      </x:c>
      <x:c r="C18" s="300" t="s">
        <x:v>488</x:v>
      </x:c>
      <x:c r="D18" s="268" t="s">
        <x:v>614</x:v>
      </x:c>
      <x:c r="E18" s="135"/>
      <x:c r="F18" s="135"/>
      <x:c r="G18" s="135"/>
    </x:row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2:G12"/>
    <x:mergeCell ref="A1:G1"/>
    <x:mergeCell ref="A2:G2"/>
  </x:mergeCells>
  <x:conditionalFormatting sqref="C14:C18">
    <x:cfRule type="expression" dxfId="29" priority="1">
      <x:formula>OR(ISNUMBER(SEARCH("PASS",C14)),ISNUMBER(SEARCH("ĐẠT",C14)),ISNUMBER(SEARCH("DONE",C14)),ISNUMBER(SEARCH("Y",C14)))</x:formula>
    </x:cfRule>
    <x:cfRule type="expression" dxfId="30" priority="2">
      <x:formula>OR(ISNUMBER(SEARCH("BLOCKED",C14)),ISNUMBER(SEARCH("NO-GO",C14)),ISNUMBER(SEARCH("CHƯA",C14)),ISNUMBER(SEARCH("N",C14)))</x:formula>
    </x:cfRule>
    <x:cfRule type="expression" dxfId="31" priority="3">
      <x:formula>OR(ISNUMBER(SEARCH("PHẦN",C14)),ISNUMBER(SEARCH("PROGRESS",C14)),ISNUMBER(SEARCH("CANDIDATE",C14)),ISNUMBER(SEARCH("ỨNG VIÊN",C14)))</x:formula>
    </x:cfRule>
  </x:conditionalFormatting>
  <x:dataValidations count="1">
    <x:dataValidation type="list" sqref="C14:C18">
      <x:formula1>"Y,N"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32" hidden="0" customWidth="1"/>
    <x:col min="3" max="3" width="26" hidden="0" customWidth="1"/>
    <x:col min="4" max="4" width="34" hidden="0" customWidth="1"/>
    <x:col min="5" max="5" width="42" hidden="0" customWidth="1"/>
    <x:col min="6" max="6" width="44" hidden="0" customWidth="1"/>
    <x:col min="7" max="7" width="28" hidden="0" customWidth="1"/>
    <x:col min="8" max="8" width="40" hidden="0" customWidth="1"/>
    <x:col min="9" max="9" width="42" hidden="0" customWidth="1"/>
  </x:cols>
  <x:sheetData>
    <x:row r="1" ht="28" customHeight="1">
      <x:c r="A1" s="181" t="s">
        <x:v>615</x:v>
      </x:c>
      <x:c r="B1" s="181"/>
      <x:c r="C1" s="181"/>
      <x:c r="D1" s="181"/>
      <x:c r="E1" s="181"/>
      <x:c r="F1" s="181"/>
      <x:c r="G1" s="181"/>
      <x:c r="H1" s="181"/>
      <x:c r="I1" s="181"/>
    </x:row>
    <x:row r="2" ht="30" customHeight="1">
      <x:c r="A2" s="187" t="s">
        <x:v>616</x:v>
      </x:c>
      <x:c r="B2" s="187"/>
      <x:c r="C2" s="187"/>
      <x:c r="D2" s="187"/>
      <x:c r="E2" s="187"/>
      <x:c r="F2" s="187"/>
      <x:c r="G2" s="187"/>
      <x:c r="H2" s="187"/>
      <x:c r="I2" s="187"/>
    </x:row>
    <x:row r="3" ht="14.25" customHeight="1">
      <x:c r="A3" s="135"/>
      <x:c r="B3" s="135"/>
      <x:c r="C3" s="135"/>
      <x:c r="D3" s="135"/>
      <x:c r="E3" s="135"/>
      <x:c r="F3" s="135"/>
      <x:c r="G3" s="135"/>
      <x:c r="H3" s="135"/>
      <x:c r="I3" s="135"/>
    </x:row>
    <x:row r="4" ht="32" customHeight="1">
      <x:c r="A4" s="253" t="s">
        <x:v>112</x:v>
      </x:c>
      <x:c r="B4" s="254" t="s">
        <x:v>617</x:v>
      </x:c>
      <x:c r="C4" s="254" t="s">
        <x:v>618</x:v>
      </x:c>
      <x:c r="D4" s="254" t="s">
        <x:v>619</x:v>
      </x:c>
      <x:c r="E4" s="254" t="s">
        <x:v>620</x:v>
      </x:c>
      <x:c r="F4" s="254" t="s">
        <x:v>621</x:v>
      </x:c>
      <x:c r="G4" s="254" t="s">
        <x:v>622</x:v>
      </x:c>
      <x:c r="H4" s="254" t="s">
        <x:v>623</x:v>
      </x:c>
      <x:c r="I4" s="255" t="s">
        <x:v>23</x:v>
      </x:c>
    </x:row>
    <x:row r="5" ht="60" hidden="0" customHeight="1">
      <x:c r="A5" s="259" t="s">
        <x:v>121</x:v>
      </x:c>
      <x:c r="B5" s="260" t="s">
        <x:v>624</x:v>
      </x:c>
      <x:c r="C5" s="260" t="s">
        <x:v>625</x:v>
      </x:c>
      <x:c r="D5" s="260" t="s">
        <x:v>127</x:v>
      </x:c>
      <x:c r="E5" s="260" t="s">
        <x:v>626</x:v>
      </x:c>
      <x:c r="F5" s="260" t="s">
        <x:v>627</x:v>
      </x:c>
      <x:c r="G5" s="260" t="s">
        <x:v>628</x:v>
      </x:c>
      <x:c r="H5" s="260" t="s">
        <x:v>629</x:v>
      </x:c>
      <x:c r="I5" s="279" t="s">
        <x:v>630</x:v>
      </x:c>
    </x:row>
    <x:row r="6" ht="60" hidden="0" customHeight="1">
      <x:c r="A6" s="263" t="s">
        <x:v>132</x:v>
      </x:c>
      <x:c r="B6" s="135" t="s">
        <x:v>631</x:v>
      </x:c>
      <x:c r="C6" s="135" t="s">
        <x:v>632</x:v>
      </x:c>
      <x:c r="D6" s="135" t="s">
        <x:v>136</x:v>
      </x:c>
      <x:c r="E6" s="135" t="s">
        <x:v>626</x:v>
      </x:c>
      <x:c r="F6" s="135" t="s">
        <x:v>633</x:v>
      </x:c>
      <x:c r="G6" s="135" t="s">
        <x:v>634</x:v>
      </x:c>
      <x:c r="H6" s="135" t="s">
        <x:v>629</x:v>
      </x:c>
      <x:c r="I6" s="280" t="s">
        <x:v>635</x:v>
      </x:c>
    </x:row>
    <x:row r="7" ht="60" hidden="0" customHeight="1">
      <x:c r="A7" s="263" t="s">
        <x:v>139</x:v>
      </x:c>
      <x:c r="B7" s="135" t="s">
        <x:v>636</x:v>
      </x:c>
      <x:c r="C7" s="135" t="s">
        <x:v>637</x:v>
      </x:c>
      <x:c r="D7" s="135" t="s">
        <x:v>143</x:v>
      </x:c>
      <x:c r="E7" s="135" t="s">
        <x:v>626</x:v>
      </x:c>
      <x:c r="F7" s="135" t="s">
        <x:v>638</x:v>
      </x:c>
      <x:c r="G7" s="135" t="s">
        <x:v>639</x:v>
      </x:c>
      <x:c r="H7" s="135" t="s">
        <x:v>629</x:v>
      </x:c>
      <x:c r="I7" s="280" t="s">
        <x:v>640</x:v>
      </x:c>
    </x:row>
    <x:row r="8" ht="60" hidden="0" customHeight="1">
      <x:c r="A8" s="263" t="s">
        <x:v>146</x:v>
      </x:c>
      <x:c r="B8" s="135" t="s">
        <x:v>641</x:v>
      </x:c>
      <x:c r="C8" s="135" t="s">
        <x:v>642</x:v>
      </x:c>
      <x:c r="D8" s="135" t="s">
        <x:v>152</x:v>
      </x:c>
      <x:c r="E8" s="135" t="s">
        <x:v>626</x:v>
      </x:c>
      <x:c r="F8" s="135" t="s">
        <x:v>643</x:v>
      </x:c>
      <x:c r="G8" s="135" t="s">
        <x:v>644</x:v>
      </x:c>
      <x:c r="H8" s="135" t="s">
        <x:v>629</x:v>
      </x:c>
      <x:c r="I8" s="280" t="s">
        <x:v>645</x:v>
      </x:c>
    </x:row>
    <x:row r="9" ht="60" hidden="0" customHeight="1">
      <x:c r="A9" s="263" t="s">
        <x:v>156</x:v>
      </x:c>
      <x:c r="B9" s="135" t="s">
        <x:v>646</x:v>
      </x:c>
      <x:c r="C9" s="135" t="s">
        <x:v>647</x:v>
      </x:c>
      <x:c r="D9" s="135" t="s">
        <x:v>160</x:v>
      </x:c>
      <x:c r="E9" s="135" t="s">
        <x:v>626</x:v>
      </x:c>
      <x:c r="F9" s="135" t="s">
        <x:v>648</x:v>
      </x:c>
      <x:c r="G9" s="135" t="s">
        <x:v>649</x:v>
      </x:c>
      <x:c r="H9" s="135" t="s">
        <x:v>629</x:v>
      </x:c>
      <x:c r="I9" s="280" t="s">
        <x:v>650</x:v>
      </x:c>
    </x:row>
    <x:row r="10" ht="60" hidden="0" customHeight="1">
      <x:c r="A10" s="263" t="s">
        <x:v>164</x:v>
      </x:c>
      <x:c r="B10" s="135" t="s">
        <x:v>651</x:v>
      </x:c>
      <x:c r="C10" s="135" t="s">
        <x:v>652</x:v>
      </x:c>
      <x:c r="D10" s="135" t="s">
        <x:v>168</x:v>
      </x:c>
      <x:c r="E10" s="135" t="s">
        <x:v>626</x:v>
      </x:c>
      <x:c r="F10" s="135" t="s">
        <x:v>653</x:v>
      </x:c>
      <x:c r="G10" s="135" t="s">
        <x:v>654</x:v>
      </x:c>
      <x:c r="H10" s="135" t="s">
        <x:v>629</x:v>
      </x:c>
      <x:c r="I10" s="280" t="s">
        <x:v>635</x:v>
      </x:c>
    </x:row>
    <x:row r="11" ht="60" hidden="0" customHeight="1">
      <x:c r="A11" s="263" t="s">
        <x:v>170</x:v>
      </x:c>
      <x:c r="B11" s="135" t="s">
        <x:v>655</x:v>
      </x:c>
      <x:c r="C11" s="135" t="s">
        <x:v>656</x:v>
      </x:c>
      <x:c r="D11" s="135" t="s">
        <x:v>176</x:v>
      </x:c>
      <x:c r="E11" s="135" t="s">
        <x:v>626</x:v>
      </x:c>
      <x:c r="F11" s="135" t="s">
        <x:v>657</x:v>
      </x:c>
      <x:c r="G11" s="135" t="s">
        <x:v>658</x:v>
      </x:c>
      <x:c r="H11" s="135" t="s">
        <x:v>629</x:v>
      </x:c>
      <x:c r="I11" s="280" t="s">
        <x:v>635</x:v>
      </x:c>
    </x:row>
    <x:row r="12" ht="60" hidden="0" customHeight="1">
      <x:c r="A12" s="263" t="s">
        <x:v>177</x:v>
      </x:c>
      <x:c r="B12" s="135" t="s">
        <x:v>659</x:v>
      </x:c>
      <x:c r="C12" s="135" t="s">
        <x:v>660</x:v>
      </x:c>
      <x:c r="D12" s="135" t="s">
        <x:v>182</x:v>
      </x:c>
      <x:c r="E12" s="135" t="s">
        <x:v>626</x:v>
      </x:c>
      <x:c r="F12" s="135" t="s">
        <x:v>661</x:v>
      </x:c>
      <x:c r="G12" s="135" t="s">
        <x:v>662</x:v>
      </x:c>
      <x:c r="H12" s="135" t="s">
        <x:v>629</x:v>
      </x:c>
      <x:c r="I12" s="280" t="s">
        <x:v>663</x:v>
      </x:c>
    </x:row>
    <x:row r="13" ht="60" hidden="0" customHeight="1">
      <x:c r="A13" s="263" t="s">
        <x:v>184</x:v>
      </x:c>
      <x:c r="B13" s="135" t="s">
        <x:v>664</x:v>
      </x:c>
      <x:c r="C13" s="135" t="s">
        <x:v>665</x:v>
      </x:c>
      <x:c r="D13" s="135" t="s">
        <x:v>189</x:v>
      </x:c>
      <x:c r="E13" s="135" t="s">
        <x:v>626</x:v>
      </x:c>
      <x:c r="F13" s="135" t="s">
        <x:v>666</x:v>
      </x:c>
      <x:c r="G13" s="135" t="s">
        <x:v>667</x:v>
      </x:c>
      <x:c r="H13" s="135" t="s">
        <x:v>629</x:v>
      </x:c>
      <x:c r="I13" s="280" t="s">
        <x:v>663</x:v>
      </x:c>
    </x:row>
    <x:row r="14" ht="60" hidden="0" customHeight="1">
      <x:c r="A14" s="263" t="s">
        <x:v>192</x:v>
      </x:c>
      <x:c r="B14" s="135" t="s">
        <x:v>668</x:v>
      </x:c>
      <x:c r="C14" s="135" t="s">
        <x:v>669</x:v>
      </x:c>
      <x:c r="D14" s="135" t="s">
        <x:v>197</x:v>
      </x:c>
      <x:c r="E14" s="135" t="s">
        <x:v>626</x:v>
      </x:c>
      <x:c r="F14" s="135" t="s">
        <x:v>670</x:v>
      </x:c>
      <x:c r="G14" s="135" t="s">
        <x:v>671</x:v>
      </x:c>
      <x:c r="H14" s="135" t="s">
        <x:v>629</x:v>
      </x:c>
      <x:c r="I14" s="280" t="s">
        <x:v>672</x:v>
      </x:c>
    </x:row>
    <x:row r="15" ht="60" hidden="0" customHeight="1">
      <x:c r="A15" s="263" t="s">
        <x:v>199</x:v>
      </x:c>
      <x:c r="B15" s="135" t="s">
        <x:v>673</x:v>
      </x:c>
      <x:c r="C15" s="135" t="s">
        <x:v>674</x:v>
      </x:c>
      <x:c r="D15" s="135" t="s">
        <x:v>203</x:v>
      </x:c>
      <x:c r="E15" s="135" t="s">
        <x:v>626</x:v>
      </x:c>
      <x:c r="F15" s="135" t="s">
        <x:v>675</x:v>
      </x:c>
      <x:c r="G15" s="135" t="s">
        <x:v>676</x:v>
      </x:c>
      <x:c r="H15" s="135" t="s">
        <x:v>629</x:v>
      </x:c>
      <x:c r="I15" s="280" t="s">
        <x:v>640</x:v>
      </x:c>
    </x:row>
    <x:row r="16" ht="60" hidden="0" customHeight="1">
      <x:c r="A16" s="265" t="s">
        <x:v>204</x:v>
      </x:c>
      <x:c r="B16" s="266" t="s">
        <x:v>677</x:v>
      </x:c>
      <x:c r="C16" s="266" t="s">
        <x:v>678</x:v>
      </x:c>
      <x:c r="D16" s="266" t="s">
        <x:v>208</x:v>
      </x:c>
      <x:c r="E16" s="266" t="s">
        <x:v>626</x:v>
      </x:c>
      <x:c r="F16" s="266" t="s">
        <x:v>679</x:v>
      </x:c>
      <x:c r="G16" s="266" t="s">
        <x:v>680</x:v>
      </x:c>
      <x:c r="H16" s="266" t="s">
        <x:v>629</x:v>
      </x:c>
      <x:c r="I16" s="281" t="s">
        <x:v>681</x:v>
      </x:c>
    </x:row>
    <x:row r="17" ht="105" customHeight="1"/>
    <x:row r="18" ht="105" customHeight="1"/>
    <x:row r="19" ht="105" customHeight="1"/>
    <x:row r="20" ht="105" customHeight="1"/>
    <x:row r="21" ht="105" customHeight="1"/>
    <x:row r="22" ht="105" customHeight="1"/>
    <x:row r="23" ht="105" customHeight="1"/>
    <x:row r="24" ht="105" customHeight="1"/>
    <x:row r="25" ht="105" customHeight="1"/>
    <x:row r="26" ht="105" customHeight="1"/>
    <x:row r="27" ht="105" customHeight="1"/>
    <x:row r="28" ht="105" customHeight="1"/>
  </x:sheetData>
  <x:mergeCells>
    <x:mergeCell ref="A1:I1"/>
    <x:mergeCell ref="A2:I2"/>
  </x:mergeCells>
  <x:conditionalFormatting sqref="I5:I16">
    <x:cfRule type="expression" dxfId="23" priority="1">
      <x:formula>OR(ISNUMBER(SEARCH("PASS",I5)),ISNUMBER(SEARCH("ĐẠT",I5)),ISNUMBER(SEARCH("DONE",I5)),ISNUMBER(SEARCH("Y",I5)))</x:formula>
    </x:cfRule>
    <x:cfRule type="expression" dxfId="24" priority="2">
      <x:formula>OR(ISNUMBER(SEARCH("BLOCKED",I5)),ISNUMBER(SEARCH("NO-GO",I5)),ISNUMBER(SEARCH("CHƯA",I5)),ISNUMBER(SEARCH("N",I5)))</x:formula>
    </x:cfRule>
    <x:cfRule type="expression" dxfId="25" priority="3">
      <x:formula>OR(ISNUMBER(SEARCH("PHẦN",I5)),ISNUMBER(SEARCH("PROGRESS",I5)),ISNUMBER(SEARCH("CANDIDATE",I5)),ISNUMBER(SEARCH("ỨNG VIÊN",I5)))</x:formula>
    </x:cfRule>
  </x:conditionalFormatting>
  <x:dataValidations count="1">
    <x:dataValidation type="list" sqref="I5:I16">
      <x:formula1>"DRAFT,REVIEWED,READY"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2" hidden="0" customWidth="1"/>
    <x:col min="2" max="2" width="24" hidden="0" customWidth="1"/>
    <x:col min="3" max="3" width="42" hidden="0" customWidth="1"/>
    <x:col min="4" max="7" width="14" customWidth="1"/>
    <x:col min="8" max="8" width="58" hidden="0" customWidth="1"/>
    <x:col min="4" max="4" width="16" hidden="0" customWidth="1"/>
    <x:col min="5" max="5" width="16" hidden="0" customWidth="1"/>
    <x:col min="6" max="6" width="12" hidden="0" customWidth="1"/>
    <x:col min="7" max="7" width="14" hidden="0" customWidth="1"/>
  </x:cols>
  <x:sheetData>
    <x:row r="1" ht="28" customHeight="1">
      <x:c r="A1" s="181" t="s">
        <x:v>682</x:v>
      </x:c>
      <x:c r="B1" s="181"/>
      <x:c r="C1" s="181"/>
      <x:c r="D1" s="181"/>
      <x:c r="E1" s="181"/>
      <x:c r="F1" s="181"/>
      <x:c r="G1" s="181"/>
      <x:c r="H1" s="181"/>
    </x:row>
    <x:row r="2" ht="30" customHeight="1">
      <x:c r="A2" s="227" t="s">
        <x:v>683</x:v>
      </x:c>
      <x:c r="B2" s="227"/>
      <x:c r="C2" s="227"/>
      <x:c r="D2" s="227"/>
      <x:c r="E2" s="227"/>
      <x:c r="F2" s="227"/>
      <x:c r="G2" s="227"/>
      <x:c r="H2" s="227"/>
    </x:row>
    <x:row r="3" ht="15" customHeight="1">
      <x:c r="A3" s="135"/>
      <x:c r="B3" s="135"/>
      <x:c r="C3" s="135"/>
      <x:c r="D3" s="135"/>
      <x:c r="E3" s="135"/>
      <x:c r="F3" s="135"/>
      <x:c r="G3" s="135"/>
      <x:c r="H3" s="135"/>
    </x:row>
    <x:row r="4" ht="32" customHeight="1">
      <x:c r="A4" s="253" t="s">
        <x:v>112</x:v>
      </x:c>
      <x:c r="B4" s="254" t="s">
        <x:v>3</x:v>
      </x:c>
      <x:c r="C4" s="254" t="s">
        <x:v>684</x:v>
      </x:c>
      <x:c r="D4" s="254" t="s">
        <x:v>685</x:v>
      </x:c>
      <x:c r="E4" s="254" t="s">
        <x:v>686</x:v>
      </x:c>
      <x:c r="F4" s="254" t="s">
        <x:v>687</x:v>
      </x:c>
      <x:c r="G4" s="254" t="s">
        <x:v>518</x:v>
      </x:c>
      <x:c r="H4" s="255" t="s">
        <x:v>688</x:v>
      </x:c>
    </x:row>
    <x:row r="5" ht="48" customHeight="1">
      <x:c r="A5" s="259" t="s">
        <x:v>121</x:v>
      </x:c>
      <x:c r="B5" s="260" t="s">
        <x:v>689</x:v>
      </x:c>
      <x:c r="C5" s="260" t="s">
        <x:v>690</x:v>
      </x:c>
      <x:c r="D5" s="260" t="s">
        <x:v>691</x:v>
      </x:c>
      <x:c r="E5" s="260" t="s">
        <x:v>691</x:v>
      </x:c>
      <x:c r="F5" s="260" t="s">
        <x:v>488</x:v>
      </x:c>
      <x:c r="G5" s="309" t="s">
        <x:v>183</x:v>
      </x:c>
      <x:c r="H5" s="262" t="s">
        <x:v>692</x:v>
      </x:c>
    </x:row>
    <x:row r="6" ht="48" customHeight="1">
      <x:c r="A6" s="263" t="s">
        <x:v>132</x:v>
      </x:c>
      <x:c r="B6" s="135" t="s">
        <x:v>689</x:v>
      </x:c>
      <x:c r="C6" s="135" t="s">
        <x:v>693</x:v>
      </x:c>
      <x:c r="D6" s="135" t="s">
        <x:v>691</x:v>
      </x:c>
      <x:c r="E6" s="135" t="s">
        <x:v>691</x:v>
      </x:c>
      <x:c r="F6" s="135" t="s">
        <x:v>488</x:v>
      </x:c>
      <x:c r="G6" s="133" t="s">
        <x:v>183</x:v>
      </x:c>
      <x:c r="H6" s="264" t="s">
        <x:v>692</x:v>
      </x:c>
    </x:row>
    <x:row r="7" ht="48" customHeight="1">
      <x:c r="A7" s="263" t="s">
        <x:v>139</x:v>
      </x:c>
      <x:c r="B7" s="135" t="s">
        <x:v>689</x:v>
      </x:c>
      <x:c r="C7" s="135" t="s">
        <x:v>694</x:v>
      </x:c>
      <x:c r="D7" s="135" t="s">
        <x:v>691</x:v>
      </x:c>
      <x:c r="E7" s="135" t="s">
        <x:v>691</x:v>
      </x:c>
      <x:c r="F7" s="135" t="s">
        <x:v>488</x:v>
      </x:c>
      <x:c r="G7" s="133" t="s">
        <x:v>183</x:v>
      </x:c>
      <x:c r="H7" s="264" t="s">
        <x:v>692</x:v>
      </x:c>
    </x:row>
    <x:row r="8" ht="48" customHeight="1">
      <x:c r="A8" s="263" t="s">
        <x:v>146</x:v>
      </x:c>
      <x:c r="B8" s="135" t="s">
        <x:v>689</x:v>
      </x:c>
      <x:c r="C8" s="135" t="s">
        <x:v>695</x:v>
      </x:c>
      <x:c r="D8" s="135" t="s">
        <x:v>691</x:v>
      </x:c>
      <x:c r="E8" s="135" t="s">
        <x:v>691</x:v>
      </x:c>
      <x:c r="F8" s="135" t="s">
        <x:v>488</x:v>
      </x:c>
      <x:c r="G8" s="133" t="s">
        <x:v>183</x:v>
      </x:c>
      <x:c r="H8" s="264" t="s">
        <x:v>692</x:v>
      </x:c>
    </x:row>
    <x:row r="9" ht="48" customHeight="1">
      <x:c r="A9" s="263" t="s">
        <x:v>156</x:v>
      </x:c>
      <x:c r="B9" s="135" t="s">
        <x:v>689</x:v>
      </x:c>
      <x:c r="C9" s="135" t="s">
        <x:v>696</x:v>
      </x:c>
      <x:c r="D9" s="135" t="s">
        <x:v>691</x:v>
      </x:c>
      <x:c r="E9" s="135" t="s">
        <x:v>691</x:v>
      </x:c>
      <x:c r="F9" s="135" t="s">
        <x:v>488</x:v>
      </x:c>
      <x:c r="G9" s="133" t="s">
        <x:v>183</x:v>
      </x:c>
      <x:c r="H9" s="264" t="s">
        <x:v>692</x:v>
      </x:c>
    </x:row>
    <x:row r="10" ht="48" customHeight="1">
      <x:c r="A10" s="263" t="s">
        <x:v>164</x:v>
      </x:c>
      <x:c r="B10" s="135" t="s">
        <x:v>689</x:v>
      </x:c>
      <x:c r="C10" s="135" t="s">
        <x:v>697</x:v>
      </x:c>
      <x:c r="D10" s="135" t="s">
        <x:v>691</x:v>
      </x:c>
      <x:c r="E10" s="135" t="s">
        <x:v>691</x:v>
      </x:c>
      <x:c r="F10" s="135" t="s">
        <x:v>488</x:v>
      </x:c>
      <x:c r="G10" s="133" t="s">
        <x:v>183</x:v>
      </x:c>
      <x:c r="H10" s="264" t="s">
        <x:v>692</x:v>
      </x:c>
    </x:row>
    <x:row r="11" ht="48" customHeight="1">
      <x:c r="A11" s="263" t="s">
        <x:v>170</x:v>
      </x:c>
      <x:c r="B11" s="135" t="s">
        <x:v>689</x:v>
      </x:c>
      <x:c r="C11" s="135" t="s">
        <x:v>698</x:v>
      </x:c>
      <x:c r="D11" s="135" t="s">
        <x:v>691</x:v>
      </x:c>
      <x:c r="E11" s="135" t="s">
        <x:v>691</x:v>
      </x:c>
      <x:c r="F11" s="135" t="s">
        <x:v>488</x:v>
      </x:c>
      <x:c r="G11" s="133" t="s">
        <x:v>183</x:v>
      </x:c>
      <x:c r="H11" s="264" t="s">
        <x:v>692</x:v>
      </x:c>
    </x:row>
    <x:row r="12" ht="48" customHeight="1">
      <x:c r="A12" s="263" t="s">
        <x:v>177</x:v>
      </x:c>
      <x:c r="B12" s="135" t="s">
        <x:v>689</x:v>
      </x:c>
      <x:c r="C12" s="135" t="s">
        <x:v>699</x:v>
      </x:c>
      <x:c r="D12" s="135" t="s">
        <x:v>691</x:v>
      </x:c>
      <x:c r="E12" s="135" t="s">
        <x:v>691</x:v>
      </x:c>
      <x:c r="F12" s="135" t="s">
        <x:v>488</x:v>
      </x:c>
      <x:c r="G12" s="133" t="s">
        <x:v>183</x:v>
      </x:c>
      <x:c r="H12" s="264" t="s">
        <x:v>692</x:v>
      </x:c>
    </x:row>
    <x:row r="13" ht="48" customHeight="1">
      <x:c r="A13" s="263" t="s">
        <x:v>184</x:v>
      </x:c>
      <x:c r="B13" s="135" t="s">
        <x:v>689</x:v>
      </x:c>
      <x:c r="C13" s="135" t="s">
        <x:v>700</x:v>
      </x:c>
      <x:c r="D13" s="135" t="s">
        <x:v>691</x:v>
      </x:c>
      <x:c r="E13" s="135" t="s">
        <x:v>691</x:v>
      </x:c>
      <x:c r="F13" s="135" t="s">
        <x:v>488</x:v>
      </x:c>
      <x:c r="G13" s="133" t="s">
        <x:v>183</x:v>
      </x:c>
      <x:c r="H13" s="264" t="s">
        <x:v>701</x:v>
      </x:c>
    </x:row>
    <x:row r="14" ht="48" customHeight="1">
      <x:c r="A14" s="263" t="s">
        <x:v>192</x:v>
      </x:c>
      <x:c r="B14" s="135" t="s">
        <x:v>689</x:v>
      </x:c>
      <x:c r="C14" s="135" t="s">
        <x:v>702</x:v>
      </x:c>
      <x:c r="D14" s="135" t="s">
        <x:v>691</x:v>
      </x:c>
      <x:c r="E14" s="135" t="s">
        <x:v>691</x:v>
      </x:c>
      <x:c r="F14" s="135" t="s">
        <x:v>488</x:v>
      </x:c>
      <x:c r="G14" s="133" t="s">
        <x:v>183</x:v>
      </x:c>
      <x:c r="H14" s="264" t="s">
        <x:v>692</x:v>
      </x:c>
    </x:row>
    <x:row r="15" ht="48" customHeight="1">
      <x:c r="A15" s="263" t="s">
        <x:v>199</x:v>
      </x:c>
      <x:c r="B15" s="135" t="s">
        <x:v>689</x:v>
      </x:c>
      <x:c r="C15" s="135" t="s">
        <x:v>703</x:v>
      </x:c>
      <x:c r="D15" s="135" t="s">
        <x:v>691</x:v>
      </x:c>
      <x:c r="E15" s="135" t="s">
        <x:v>691</x:v>
      </x:c>
      <x:c r="F15" s="135" t="s">
        <x:v>488</x:v>
      </x:c>
      <x:c r="G15" s="133" t="s">
        <x:v>183</x:v>
      </x:c>
      <x:c r="H15" s="264" t="s">
        <x:v>692</x:v>
      </x:c>
    </x:row>
    <x:row r="16" ht="48" customHeight="1">
      <x:c r="A16" s="265" t="s">
        <x:v>204</x:v>
      </x:c>
      <x:c r="B16" s="266" t="s">
        <x:v>689</x:v>
      </x:c>
      <x:c r="C16" s="266" t="s">
        <x:v>704</x:v>
      </x:c>
      <x:c r="D16" s="266" t="s">
        <x:v>691</x:v>
      </x:c>
      <x:c r="E16" s="266" t="s">
        <x:v>691</x:v>
      </x:c>
      <x:c r="F16" s="266" t="s">
        <x:v>488</x:v>
      </x:c>
      <x:c r="G16" s="310" t="s">
        <x:v>183</x:v>
      </x:c>
      <x:c r="H16" s="268" t="s">
        <x:v>692</x:v>
      </x:c>
    </x:row>
  </x:sheetData>
  <x:mergeCells>
    <x:mergeCell ref="A1:H1"/>
    <x:mergeCell ref="A2:H2"/>
  </x:mergeCells>
  <x:conditionalFormatting sqref="G5:G16">
    <x:cfRule type="expression" dxfId="20" priority="1">
      <x:formula>OR(ISNUMBER(SEARCH("PASS",G5)),ISNUMBER(SEARCH("ĐẠT",G5)),ISNUMBER(SEARCH("DONE",G5)),ISNUMBER(SEARCH("Y",G5)))</x:formula>
    </x:cfRule>
    <x:cfRule type="expression" dxfId="21" priority="2">
      <x:formula>OR(ISNUMBER(SEARCH("BLOCKED",G5)),ISNUMBER(SEARCH("NO-GO",G5)),ISNUMBER(SEARCH("CHƯA",G5)),ISNUMBER(SEARCH("N",G5)))</x:formula>
    </x:cfRule>
    <x:cfRule type="expression" dxfId="22" priority="3">
      <x:formula>OR(ISNUMBER(SEARCH("PHẦN",G5)),ISNUMBER(SEARCH("PROGRESS",G5)),ISNUMBER(SEARCH("CANDIDATE",G5)),ISNUMBER(SEARCH("ỨNG VIÊN",G5)))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7109375" defaultRowHeight="12.75"/>
  <x:cols>
    <x:col min="1" max="1" width="13" hidden="0" customWidth="1"/>
    <x:col min="2" max="2" width="14" hidden="0" customWidth="1"/>
    <x:col min="3" max="3" width="18" hidden="0" customWidth="1"/>
    <x:col min="4" max="4" width="26" hidden="0" customWidth="1"/>
    <x:col min="5" max="5" width="64" hidden="0" customWidth="1"/>
  </x:cols>
  <x:sheetData>
    <x:row r="1" ht="28" customHeight="1">
      <x:c r="A1" s="181" t="s">
        <x:v>705</x:v>
      </x:c>
      <x:c r="B1" s="181"/>
      <x:c r="C1" s="181"/>
      <x:c r="D1" s="181"/>
      <x:c r="E1" s="181"/>
    </x:row>
    <x:row r="2" ht="30" customHeight="1">
      <x:c r="A2" s="227" t="s">
        <x:v>706</x:v>
      </x:c>
      <x:c r="B2" s="227"/>
      <x:c r="C2" s="227"/>
      <x:c r="D2" s="227"/>
      <x:c r="E2" s="227"/>
    </x:row>
    <x:row r="3">
      <x:c r="A3" s="135"/>
      <x:c r="B3" s="135"/>
      <x:c r="C3" s="135"/>
      <x:c r="D3" s="135"/>
      <x:c r="E3" s="135"/>
    </x:row>
    <x:row r="4" ht="32" customHeight="1">
      <x:c r="A4" s="253" t="s">
        <x:v>213</x:v>
      </x:c>
      <x:c r="B4" s="254" t="s">
        <x:v>214</x:v>
      </x:c>
      <x:c r="C4" s="254" t="s">
        <x:v>707</x:v>
      </x:c>
      <x:c r="D4" s="254" t="s">
        <x:v>518</x:v>
      </x:c>
      <x:c r="E4" s="255" t="s">
        <x:v>708</x:v>
      </x:c>
    </x:row>
    <x:row r="5" ht="15" customHeight="1">
      <x:c r="A5" s="259" t="s">
        <x:v>274</x:v>
      </x:c>
      <x:c r="B5" s="260" t="s">
        <x:v>170</x:v>
      </x:c>
      <x:c r="C5" s="260" t="s">
        <x:v>709</x:v>
      </x:c>
      <x:c r="D5" s="260" t="s">
        <x:v>710</x:v>
      </x:c>
      <x:c r="E5" s="262" t="s">
        <x:v>711</x:v>
      </x:c>
    </x:row>
    <x:row r="6" ht="15" customHeight="1">
      <x:c r="A6" s="263" t="s">
        <x:v>281</x:v>
      </x:c>
      <x:c r="B6" s="135" t="s">
        <x:v>170</x:v>
      </x:c>
      <x:c r="C6" s="135" t="s">
        <x:v>709</x:v>
      </x:c>
      <x:c r="D6" s="135" t="s">
        <x:v>710</x:v>
      </x:c>
      <x:c r="E6" s="264" t="s">
        <x:v>712</x:v>
      </x:c>
    </x:row>
    <x:row r="7" ht="15" customHeight="1">
      <x:c r="A7" s="263" t="s">
        <x:v>287</x:v>
      </x:c>
      <x:c r="B7" s="135" t="s">
        <x:v>713</x:v>
      </x:c>
      <x:c r="C7" s="135" t="s">
        <x:v>709</x:v>
      </x:c>
      <x:c r="D7" s="135" t="s">
        <x:v>710</x:v>
      </x:c>
      <x:c r="E7" s="264" t="s">
        <x:v>714</x:v>
      </x:c>
    </x:row>
    <x:row r="8" ht="15" customHeight="1">
      <x:c r="A8" s="263" t="s">
        <x:v>292</x:v>
      </x:c>
      <x:c r="B8" s="135" t="s">
        <x:v>170</x:v>
      </x:c>
      <x:c r="C8" s="135" t="s">
        <x:v>709</x:v>
      </x:c>
      <x:c r="D8" s="135" t="s">
        <x:v>710</x:v>
      </x:c>
      <x:c r="E8" s="264" t="s">
        <x:v>715</x:v>
      </x:c>
    </x:row>
    <x:row r="9" ht="15" customHeight="1">
      <x:c r="A9" s="263" t="s">
        <x:v>318</x:v>
      </x:c>
      <x:c r="B9" s="135" t="s">
        <x:v>121</x:v>
      </x:c>
      <x:c r="C9" s="135" t="s">
        <x:v>319</x:v>
      </x:c>
      <x:c r="D9" s="135" t="s">
        <x:v>716</x:v>
      </x:c>
      <x:c r="E9" s="264" t="s">
        <x:v>717</x:v>
      </x:c>
    </x:row>
    <x:row r="10" ht="15" customHeight="1">
      <x:c r="A10" s="263" t="s">
        <x:v>347</x:v>
      </x:c>
      <x:c r="B10" s="135" t="s">
        <x:v>146</x:v>
      </x:c>
      <x:c r="C10" s="135" t="s">
        <x:v>298</x:v>
      </x:c>
      <x:c r="D10" s="135" t="s">
        <x:v>718</x:v>
      </x:c>
      <x:c r="E10" s="264" t="s">
        <x:v>719</x:v>
      </x:c>
    </x:row>
    <x:row r="11" ht="15" customHeight="1">
      <x:c r="A11" s="263" t="s">
        <x:v>352</x:v>
      </x:c>
      <x:c r="B11" s="135" t="s">
        <x:v>146</x:v>
      </x:c>
      <x:c r="C11" s="135" t="s">
        <x:v>298</x:v>
      </x:c>
      <x:c r="D11" s="135" t="s">
        <x:v>720</x:v>
      </x:c>
      <x:c r="E11" s="264" t="s">
        <x:v>721</x:v>
      </x:c>
    </x:row>
    <x:row r="12" ht="15" customHeight="1">
      <x:c r="A12" s="263" t="s">
        <x:v>358</x:v>
      </x:c>
      <x:c r="B12" s="135" t="s">
        <x:v>139</x:v>
      </x:c>
      <x:c r="C12" s="135" t="s">
        <x:v>338</x:v>
      </x:c>
      <x:c r="D12" s="135" t="s">
        <x:v>718</x:v>
      </x:c>
      <x:c r="E12" s="264" t="s">
        <x:v>722</x:v>
      </x:c>
    </x:row>
    <x:row r="13" ht="15" customHeight="1">
      <x:c r="A13" s="263" t="s">
        <x:v>363</x:v>
      </x:c>
      <x:c r="B13" s="135" t="s">
        <x:v>132</x:v>
      </x:c>
      <x:c r="C13" s="135" t="s">
        <x:v>275</x:v>
      </x:c>
      <x:c r="D13" s="135" t="s">
        <x:v>718</x:v>
      </x:c>
      <x:c r="E13" s="264" t="s">
        <x:v>723</x:v>
      </x:c>
    </x:row>
    <x:row r="14" ht="15" customHeight="1">
      <x:c r="A14" s="263" t="s">
        <x:v>724</x:v>
      </x:c>
      <x:c r="B14" s="135" t="s">
        <x:v>725</x:v>
      </x:c>
      <x:c r="C14" s="135" t="s">
        <x:v>726</x:v>
      </x:c>
      <x:c r="D14" s="135" t="s">
        <x:v>727</x:v>
      </x:c>
      <x:c r="E14" s="264" t="s">
        <x:v>728</x:v>
      </x:c>
    </x:row>
    <x:row r="15" ht="15" customHeight="1">
      <x:c r="A15" s="263" t="s">
        <x:v>724</x:v>
      </x:c>
      <x:c r="B15" s="135" t="s">
        <x:v>729</x:v>
      </x:c>
      <x:c r="C15" s="135" t="s">
        <x:v>730</x:v>
      </x:c>
      <x:c r="D15" s="135" t="s">
        <x:v>731</x:v>
      </x:c>
      <x:c r="E15" s="264" t="s">
        <x:v>732</x:v>
      </x:c>
    </x:row>
    <x:row r="16" ht="15" customHeight="1">
      <x:c r="A16" s="263" t="s">
        <x:v>724</x:v>
      </x:c>
      <x:c r="B16" s="135" t="s">
        <x:v>733</x:v>
      </x:c>
      <x:c r="C16" s="135" t="s">
        <x:v>734</x:v>
      </x:c>
      <x:c r="D16" s="135" t="s">
        <x:v>735</x:v>
      </x:c>
      <x:c r="E16" s="264" t="s">
        <x:v>736</x:v>
      </x:c>
    </x:row>
    <x:row r="17" ht="15" customHeight="1">
      <x:c r="A17" s="263" t="s">
        <x:v>368</x:v>
      </x:c>
      <x:c r="B17" s="135" t="s">
        <x:v>121</x:v>
      </x:c>
      <x:c r="C17" s="135" t="s">
        <x:v>319</x:v>
      </x:c>
      <x:c r="D17" s="135" t="s">
        <x:v>718</x:v>
      </x:c>
      <x:c r="E17" s="264" t="s">
        <x:v>737</x:v>
      </x:c>
    </x:row>
    <x:row r="18" ht="15" customHeight="1">
      <x:c r="A18" s="263" t="s">
        <x:v>373</x:v>
      </x:c>
      <x:c r="B18" s="135" t="s">
        <x:v>164</x:v>
      </x:c>
      <x:c r="C18" s="135" t="s">
        <x:v>343</x:v>
      </x:c>
      <x:c r="D18" s="135" t="s">
        <x:v>720</x:v>
      </x:c>
      <x:c r="E18" s="264" t="s">
        <x:v>738</x:v>
      </x:c>
    </x:row>
    <x:row r="19" ht="15" customHeight="1">
      <x:c r="A19" s="263" t="s">
        <x:v>379</x:v>
      </x:c>
      <x:c r="B19" s="135" t="s">
        <x:v>164</x:v>
      </x:c>
      <x:c r="C19" s="135" t="s">
        <x:v>343</x:v>
      </x:c>
      <x:c r="D19" s="135" t="s">
        <x:v>718</x:v>
      </x:c>
      <x:c r="E19" s="264" t="s">
        <x:v>739</x:v>
      </x:c>
    </x:row>
    <x:row r="20" ht="15" customHeight="1">
      <x:c r="A20" s="263" t="s">
        <x:v>384</x:v>
      </x:c>
      <x:c r="B20" s="135" t="s">
        <x:v>156</x:v>
      </x:c>
      <x:c r="C20" s="135" t="s">
        <x:v>331</x:v>
      </x:c>
      <x:c r="D20" s="135" t="s">
        <x:v>720</x:v>
      </x:c>
      <x:c r="E20" s="264" t="s">
        <x:v>740</x:v>
      </x:c>
    </x:row>
    <x:row r="21" ht="15" customHeight="1">
      <x:c r="A21" s="263" t="s">
        <x:v>390</x:v>
      </x:c>
      <x:c r="B21" s="135" t="s">
        <x:v>132</x:v>
      </x:c>
      <x:c r="C21" s="135" t="s">
        <x:v>275</x:v>
      </x:c>
      <x:c r="D21" s="135" t="s">
        <x:v>718</x:v>
      </x:c>
      <x:c r="E21" s="264" t="s">
        <x:v>741</x:v>
      </x:c>
    </x:row>
    <x:row r="22" ht="15" customHeight="1">
      <x:c r="A22" s="263" t="s">
        <x:v>395</x:v>
      </x:c>
      <x:c r="B22" s="135" t="s">
        <x:v>132</x:v>
      </x:c>
      <x:c r="C22" s="135" t="s">
        <x:v>275</x:v>
      </x:c>
      <x:c r="D22" s="135" t="s">
        <x:v>718</x:v>
      </x:c>
      <x:c r="E22" s="264" t="s">
        <x:v>742</x:v>
      </x:c>
    </x:row>
    <x:row r="23" ht="15" customHeight="1">
      <x:c r="A23" s="265" t="s">
        <x:v>399</x:v>
      </x:c>
      <x:c r="B23" s="266" t="s">
        <x:v>177</x:v>
      </x:c>
      <x:c r="C23" s="266" t="s">
        <x:v>319</x:v>
      </x:c>
      <x:c r="D23" s="266" t="s">
        <x:v>718</x:v>
      </x:c>
      <x:c r="E23" s="268" t="s">
        <x:v>743</x:v>
      </x:c>
    </x:row>
  </x:sheetData>
  <x:mergeCells>
    <x:mergeCell ref="A1:E1"/>
    <x:mergeCell ref="A2:E2"/>
  </x:mergeCells>
  <x:conditionalFormatting sqref="D5:D23">
    <x:cfRule type="expression" dxfId="26" priority="1">
      <x:formula>OR(ISNUMBER(SEARCH("PASS",D5)),ISNUMBER(SEARCH("ĐẠT",D5)),ISNUMBER(SEARCH("DONE",D5)),ISNUMBER(SEARCH("Y",D5)))</x:formula>
    </x:cfRule>
    <x:cfRule type="expression" dxfId="27" priority="2">
      <x:formula>OR(ISNUMBER(SEARCH("BLOCKED",D5)),ISNUMBER(SEARCH("NO-GO",D5)),ISNUMBER(SEARCH("CHƯA",D5)),ISNUMBER(SEARCH("N",D5)))</x:formula>
    </x:cfRule>
    <x:cfRule type="expression" dxfId="28" priority="3">
      <x:formula>OR(ISNUMBER(SEARCH("PHẦN",D5)),ISNUMBER(SEARCH("PROGRESS",D5)),ISNUMBER(SEARCH("CANDIDATE",D5)),ISNUMBER(SEARCH("ỨNG VIÊN",D5)))</x:formula>
    </x:cfRule>
  </x:conditionalFormatting>
  <x:pageMargins left="0.7" right="0.7" top="0.75" bottom="0.75" header="0.3" footer="0.3"/>
</x:worksheet>
</file>