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Danh sách lỗi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Arial"/>
      <b val="1"/>
      <color rgb="FF17365D"/>
      <sz val="15"/>
    </font>
    <font>
      <name val="Arial"/>
      <i val="1"/>
      <color rgb="FF1F1F1F"/>
      <sz val="10"/>
    </font>
    <font>
      <name val="Arial"/>
      <color rgb="FF1F1F1F"/>
      <sz val="10"/>
    </font>
    <font>
      <name val="Arial"/>
      <b val="1"/>
      <color rgb="FFFFFFFF"/>
      <sz val="10"/>
    </font>
    <font>
      <name val="Arial"/>
      <b val="1"/>
      <color rgb="FF17365D"/>
      <sz val="11"/>
    </font>
    <font>
      <name val="Arial"/>
      <b val="1"/>
      <color rgb="FFC00000"/>
      <sz val="11"/>
    </font>
    <font>
      <name val="Arial"/>
      <b val="1"/>
      <color rgb="FF17365D"/>
      <sz val="14"/>
    </font>
    <font>
      <name val="Arial"/>
      <i val="1"/>
      <color rgb="FF595959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22"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y30DefectRiskTable" displayName="Day30DefectRiskTable" ref="A5:Q34" headerRowCount="1" totalsRowShown="0" headerRowDxfId="0">
  <autoFilter ref="A5:Q34"/>
  <tableColumns count="17">
    <tableColumn id="1" name="ID" dataDxfId="17"/>
    <tableColumn id="2" name="Loại" dataDxfId="16"/>
    <tableColumn id="3" name="Nhóm phụ trách" dataDxfId="15"/>
    <tableColumn id="4" name="Severity" dataDxfId="14"/>
    <tableColumn id="5" name="Priority" dataDxfId="13"/>
    <tableColumn id="6" name="Trạng thái" dataDxfId="12"/>
    <tableColumn id="7" name="Mô tả dễ hiểu" dataDxfId="11"/>
    <tableColumn id="8" name="Cách tái hiện" dataDxfId="10"/>
    <tableColumn id="9" name="Kết quả mong đợi" dataDxfId="9"/>
    <tableColumn id="10" name="Kết quả thực tế" dataDxfId="8"/>
    <tableColumn id="11" name="Ảnh hưởng" dataDxfId="7"/>
    <tableColumn id="12" name="Evidence" dataDxfId="6"/>
    <tableColumn id="13" name="Hướng xử lý đề xuất" dataDxfId="5"/>
    <tableColumn id="14" name="Điều kiện retest" dataDxfId="4"/>
    <tableColumn id="15" name="Owner xác nhận" dataDxfId="3"/>
    <tableColumn id="16" name="Deadline" dataDxfId="2"/>
    <tableColumn id="17" name="Ghi chú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1:H23"/>
  <sheetViews>
    <sheetView showGridLines="0" topLeftCell="A7" workbookViewId="0">
      <selection activeCell="E21" sqref="E21"/>
    </sheetView>
  </sheetViews>
  <sheetFormatPr baseColWidth="8" defaultRowHeight="14.25"/>
  <cols>
    <col width="20" customWidth="1" style="3" min="1" max="1"/>
    <col width="16" customWidth="1" style="3" min="2" max="2"/>
    <col width="3" customWidth="1" style="3" min="3" max="3"/>
    <col width="24" customWidth="1" style="3" min="4" max="4"/>
    <col width="14" customWidth="1" style="3" min="5" max="5"/>
    <col width="55" customWidth="1" style="3" min="6" max="6"/>
    <col width="12" customWidth="1" style="3" min="7" max="8"/>
    <col width="9" customWidth="1" style="3" min="9" max="10"/>
    <col width="9" customWidth="1" style="3" min="11" max="16384"/>
  </cols>
  <sheetData>
    <row r="1"/>
    <row r="2" ht="24" customHeight="1">
      <c r="A2" s="8" t="inlineStr">
        <is>
          <t>DAY 30 - DEFECT &amp; RISK TRACKER</t>
        </is>
      </c>
      <c r="B2" s="16" t="n"/>
      <c r="C2" s="16" t="n"/>
      <c r="D2" s="16" t="n"/>
      <c r="E2" s="16" t="n"/>
      <c r="F2" s="16" t="n"/>
      <c r="G2" s="16" t="n"/>
      <c r="H2" s="17" t="n"/>
    </row>
    <row r="3" ht="24" customHeight="1">
      <c r="A3" s="9" t="inlineStr">
        <is>
          <t>Dùng để FE, BE, Data AI và QA biết lỗi nào cần xử lý, cách tái hiện và điều kiện kiểm tra lại.</t>
        </is>
      </c>
      <c r="B3" s="16" t="n"/>
      <c r="C3" s="16" t="n"/>
      <c r="D3" s="16" t="n"/>
      <c r="E3" s="16" t="n"/>
      <c r="F3" s="16" t="n"/>
      <c r="G3" s="16" t="n"/>
      <c r="H3" s="17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>
      <c r="A5" s="11" t="inlineStr">
        <is>
          <t>Chỉ số</t>
        </is>
      </c>
      <c r="B5" s="11" t="inlineStr">
        <is>
          <t>Số lượng</t>
        </is>
      </c>
      <c r="C5" s="10" t="n"/>
      <c r="D5" s="11" t="inlineStr">
        <is>
          <t>Nhóm</t>
        </is>
      </c>
      <c r="E5" s="11" t="inlineStr">
        <is>
          <t>Chưa đóng</t>
        </is>
      </c>
      <c r="F5" s="11" t="inlineStr">
        <is>
          <t>Việc cần làm</t>
        </is>
      </c>
      <c r="G5" s="10" t="n"/>
      <c r="H5" s="10" t="n"/>
    </row>
    <row r="6">
      <c r="A6" s="10" t="inlineStr">
        <is>
          <t>Tổng mục</t>
        </is>
      </c>
      <c r="B6" s="10">
        <f>COUNTA('Danh sách lỗi'!A6:A197)</f>
        <v/>
      </c>
      <c r="C6" s="10" t="n"/>
      <c r="D6" s="10" t="inlineStr">
        <is>
          <t>FE</t>
        </is>
      </c>
      <c r="E6" s="10">
        <f>COUNTIFS('Danh sách lỗi'!C6:C197,D6,'Danh sách lỗi'!F6:F197,"OPEN")+COUNTIFS('Danh sách lỗi'!C6:C197,D6,'Danh sách lỗi'!F6:F197,"FIXED")+COUNTIFS('Danh sách lỗi'!C6:C197,D6,'Danh sách lỗi'!F6:F197,"PENDING APPROVAL")</f>
        <v/>
      </c>
      <c r="F6" s="10" t="inlineStr">
        <is>
          <t>Lọc Nhóm phụ trách = FE trong sheet Danh sách lỗi</t>
        </is>
      </c>
      <c r="G6" s="10" t="n"/>
      <c r="H6" s="10" t="n"/>
    </row>
    <row r="7">
      <c r="A7" s="10" t="inlineStr">
        <is>
          <t>Đang OPEN</t>
        </is>
      </c>
      <c r="B7" s="10">
        <f>COUNTIF('Danh sách lỗi'!F6:F197,"OPEN")</f>
        <v/>
      </c>
      <c r="C7" s="10" t="n"/>
      <c r="D7" s="10" t="inlineStr">
        <is>
          <t>BE</t>
        </is>
      </c>
      <c r="E7" s="10">
        <f>COUNTIFS('Danh sách lỗi'!C6:C197,D7,'Danh sách lỗi'!F6:F197,"OPEN")+COUNTIFS('Danh sách lỗi'!C6:C197,D7,'Danh sách lỗi'!F6:F197,"FIXED")+COUNTIFS('Danh sách lỗi'!C6:C197,D7,'Danh sách lỗi'!F6:F197,"PENDING APPROVAL")</f>
        <v/>
      </c>
      <c r="F7" s="10" t="inlineStr">
        <is>
          <t>Lọc Nhóm phụ trách = BE trong sheet Danh sách lỗi</t>
        </is>
      </c>
      <c r="G7" s="10" t="n"/>
      <c r="H7" s="10" t="n"/>
    </row>
    <row r="8">
      <c r="A8" s="10" t="inlineStr">
        <is>
          <t>Chờ phê duyệt</t>
        </is>
      </c>
      <c r="B8" s="10">
        <f>COUNTIF('Danh sách lỗi'!F6:F197,"PENDING APPROVAL")</f>
        <v/>
      </c>
      <c r="C8" s="10" t="n"/>
      <c r="D8" s="10" t="inlineStr">
        <is>
          <t>Data AI</t>
        </is>
      </c>
      <c r="E8" s="10">
        <f>COUNTIFS('Danh sách lỗi'!C6:C197,D8,'Danh sách lỗi'!F6:F197,"OPEN")+COUNTIFS('Danh sách lỗi'!C6:C197,D8,'Danh sách lỗi'!F6:F197,"FIXED")+COUNTIFS('Danh sách lỗi'!C6:C197,D8,'Danh sách lỗi'!F6:F197,"PENDING APPROVAL")</f>
        <v/>
      </c>
      <c r="F8" s="10" t="inlineStr">
        <is>
          <t>Lọc Nhóm phụ trách = Data AI trong sheet Danh sách lỗi</t>
        </is>
      </c>
      <c r="G8" s="10" t="n"/>
      <c r="H8" s="10" t="n"/>
    </row>
    <row r="9">
      <c r="A9" s="10" t="inlineStr">
        <is>
          <t>Đã RESOLVED</t>
        </is>
      </c>
      <c r="B9" s="10">
        <f>COUNTIF('Danh sách lỗi'!F6:F197,"RESOLVED")</f>
        <v/>
      </c>
      <c r="C9" s="10" t="n"/>
      <c r="D9" s="10" t="inlineStr">
        <is>
          <t>QA</t>
        </is>
      </c>
      <c r="E9" s="10">
        <f>COUNTIFS('Danh sách lỗi'!C6:C197,D9,'Danh sách lỗi'!F6:F197,"OPEN")+COUNTIFS('Danh sách lỗi'!C6:C197,D9,'Danh sách lỗi'!F6:F197,"FIXED")+COUNTIFS('Danh sách lỗi'!C6:C197,D9,'Danh sách lỗi'!F6:F197,"PENDING APPROVAL")</f>
        <v/>
      </c>
      <c r="F9" s="10" t="inlineStr">
        <is>
          <t>Hoàn thiện evidence và xác nhận kết quả</t>
        </is>
      </c>
      <c r="G9" s="10" t="n"/>
      <c r="H9" s="10" t="n"/>
    </row>
    <row r="10">
      <c r="A10" s="10" t="inlineStr">
        <is>
          <t>High chưa đóng</t>
        </is>
      </c>
      <c r="B10" s="10">
        <f>COUNTIFS('Danh sách lỗi'!D6:D197,"High",'Danh sách lỗi'!F6:F197,"&lt;&gt;RESOLVED")</f>
        <v/>
      </c>
      <c r="C10" s="10" t="n"/>
      <c r="D10" s="10" t="inlineStr">
        <is>
          <t>Needs investigation</t>
        </is>
      </c>
      <c r="E10" s="10">
        <f>COUNTIFS('Danh sách lỗi'!C6:C197,D10,'Danh sách lỗi'!F6:F197,"OPEN")+COUNTIFS('Danh sách lỗi'!C6:C197,D10,'Danh sách lỗi'!F6:F197,"FIXED")+COUNTIFS('Danh sách lỗi'!C6:C197,D10,'Danh sách lỗi'!F6:F197,"PENDING APPROVAL")</f>
        <v/>
      </c>
      <c r="F10" s="10" t="inlineStr">
        <is>
          <t>Điều tra nguyên nhân rồi chuyển về FE/BE/Data AI/QA</t>
        </is>
      </c>
      <c r="G10" s="10" t="n"/>
      <c r="H10" s="10" t="n"/>
    </row>
    <row r="11">
      <c r="A11" s="10" t="inlineStr">
        <is>
          <t>FE chưa đóng</t>
        </is>
      </c>
      <c r="B11" s="10">
        <f>COUNTIFS('Danh sách lỗi'!C6:C197,"FE",'Danh sách lỗi'!F6:F197,"&lt;&gt;RESOLVED")</f>
        <v/>
      </c>
      <c r="C11" s="10" t="n"/>
      <c r="D11" s="10" t="n"/>
      <c r="E11" s="10" t="n"/>
      <c r="F11" s="10" t="n"/>
      <c r="G11" s="10" t="n"/>
      <c r="H11" s="10" t="n"/>
    </row>
    <row r="12">
      <c r="A12" s="10" t="inlineStr">
        <is>
          <t>BE chưa đóng</t>
        </is>
      </c>
      <c r="B12" s="10">
        <f>COUNTIFS('Danh sách lỗi'!C6:C197,"BE",'Danh sách lỗi'!F6:F197,"&lt;&gt;RESOLVED")</f>
        <v/>
      </c>
      <c r="C12" s="10" t="n"/>
      <c r="D12" s="10" t="n"/>
      <c r="E12" s="10" t="n"/>
      <c r="F12" s="10" t="n"/>
      <c r="G12" s="10" t="n"/>
      <c r="H12" s="10" t="n"/>
    </row>
    <row r="13">
      <c r="A13" s="10" t="inlineStr">
        <is>
          <t>Test case Ngày 30 v2</t>
        </is>
      </c>
      <c r="B13" s="10" t="inlineStr">
        <is>
          <t>38 ca: 18 Pass, 18 Fail, 1 Blocked, 1 Pending</t>
        </is>
      </c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 ht="15" customHeight="1">
      <c r="A15" s="12" t="inlineStr">
        <is>
          <t>CÁCH SỬ DỤNG</t>
        </is>
      </c>
      <c r="B15" s="16" t="n"/>
      <c r="C15" s="16" t="n"/>
      <c r="D15" s="16" t="n"/>
      <c r="E15" s="16" t="n"/>
      <c r="F15" s="16" t="n"/>
      <c r="G15" s="16" t="n"/>
      <c r="H15" s="17" t="n"/>
    </row>
    <row r="16" ht="26.1" customHeight="1">
      <c r="A16" s="14" t="inlineStr">
        <is>
          <t>1.</t>
        </is>
      </c>
      <c r="B16" s="14" t="inlineStr">
        <is>
          <t>Mở sheet Danh sách lỗi và bật bộ lọc ở hàng tiêu đề.</t>
        </is>
      </c>
      <c r="C16" s="16" t="n"/>
      <c r="D16" s="16" t="n"/>
      <c r="E16" s="16" t="n"/>
      <c r="F16" s="16" t="n"/>
      <c r="G16" s="16" t="n"/>
      <c r="H16" s="17" t="n"/>
    </row>
    <row r="17" ht="26.1" customHeight="1">
      <c r="A17" s="14" t="inlineStr">
        <is>
          <t>2.</t>
        </is>
      </c>
      <c r="B17" s="14" t="inlineStr">
        <is>
          <t>Mỗi nhóm lọc cột Nhóm phụ trách để xem đúng phần của mình.</t>
        </is>
      </c>
      <c r="C17" s="16" t="n"/>
      <c r="D17" s="16" t="n"/>
      <c r="E17" s="16" t="n"/>
      <c r="F17" s="16" t="n"/>
      <c r="G17" s="16" t="n"/>
      <c r="H17" s="17" t="n"/>
    </row>
    <row r="18" ht="26.1" customHeight="1">
      <c r="A18" s="14" t="inlineStr">
        <is>
          <t>3.</t>
        </is>
      </c>
      <c r="B18" s="14" t="inlineStr">
        <is>
          <t>Đọc lần lượt: Cách tái hiện → Mong đợi → Thực tế → Evidence.</t>
        </is>
      </c>
      <c r="C18" s="16" t="n"/>
      <c r="D18" s="16" t="n"/>
      <c r="E18" s="16" t="n"/>
      <c r="F18" s="16" t="n"/>
      <c r="G18" s="16" t="n"/>
      <c r="H18" s="17" t="n"/>
    </row>
    <row r="19" ht="26.1" customHeight="1">
      <c r="A19" s="14" t="inlineStr">
        <is>
          <t>4.</t>
        </is>
      </c>
      <c r="B19" s="14" t="inlineStr">
        <is>
          <t>Sau khi sửa, điền Owner, Deadline và đổi trạng thái thành FIXED.</t>
        </is>
      </c>
      <c r="C19" s="16" t="n"/>
      <c r="D19" s="16" t="n"/>
      <c r="E19" s="16" t="n"/>
      <c r="F19" s="16" t="n"/>
      <c r="G19" s="16" t="n"/>
      <c r="H19" s="17" t="n"/>
    </row>
    <row r="20" ht="26.1" customHeight="1">
      <c r="A20" s="14" t="inlineStr">
        <is>
          <t>5.</t>
        </is>
      </c>
      <c r="B20" s="14" t="inlineStr">
        <is>
          <t>QA chạy Điều kiện retest; PASS mới đổi sang RESOLVED.</t>
        </is>
      </c>
      <c r="C20" s="16" t="n"/>
      <c r="D20" s="16" t="n"/>
      <c r="E20" s="16" t="n"/>
      <c r="F20" s="16" t="n"/>
      <c r="G20" s="16" t="n"/>
      <c r="H20" s="17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 ht="27.95" customHeight="1">
      <c r="A22" s="15" t="inlineStr">
        <is>
          <t>Quyết định hiện tại: NO-GO / HOLD. Không phát hành khi còn High chưa đóng hoặc chưa có phê duyệt risk.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 ht="27.95" customHeight="1">
      <c r="A23" s="15" t="inlineStr">
        <is>
          <t>Retest 17/10/2026 (v2): còn 8 mục High chặn release (DEF-033, DEF-035, DEF-050, DEF-018, DEF-060, RISK-06, RISK-07, RISK-08). Phân lớp theo độ tuổi đúng ở giao diện và quyền xem lớp; API quiz chưa chặn theo nhóm tuổi (RISK-02).</t>
        </is>
      </c>
      <c r="B23" s="16" t="n"/>
      <c r="C23" s="16" t="n"/>
      <c r="D23" s="16" t="n"/>
      <c r="E23" s="16" t="n"/>
      <c r="F23" s="16" t="n"/>
      <c r="G23" s="16" t="n"/>
      <c r="H23" s="17" t="n"/>
    </row>
  </sheetData>
  <mergeCells count="10">
    <mergeCell ref="A3:H3"/>
    <mergeCell ref="B17:H17"/>
    <mergeCell ref="A15:H15"/>
    <mergeCell ref="B18:H18"/>
    <mergeCell ref="A2:H2"/>
    <mergeCell ref="B16:H16"/>
    <mergeCell ref="A23:H23"/>
    <mergeCell ref="B19:H19"/>
    <mergeCell ref="B20:H20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2:Q36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25" sqref="D25"/>
    </sheetView>
  </sheetViews>
  <sheetFormatPr baseColWidth="8" defaultRowHeight="14.25"/>
  <cols>
    <col width="13" customWidth="1" style="3" min="1" max="1"/>
    <col width="11" customWidth="1" style="3" min="2" max="2"/>
    <col width="19" customWidth="1" style="3" min="3" max="3"/>
    <col width="14" customWidth="1" style="3" min="4" max="6"/>
    <col width="34" customWidth="1" style="3" min="7" max="7"/>
    <col width="42" customWidth="1" style="3" min="8" max="10"/>
    <col width="32" customWidth="1" style="3" min="11" max="11"/>
    <col width="45" customWidth="1" style="3" min="12" max="12"/>
    <col width="40" customWidth="1" style="3" min="13" max="14"/>
    <col width="23" customWidth="1" style="3" min="15" max="17"/>
    <col width="9" customWidth="1" style="3" min="18" max="19"/>
    <col width="9" customWidth="1" style="3" min="20" max="16384"/>
  </cols>
  <sheetData>
    <row r="2" ht="18" customHeight="1">
      <c r="A2" s="1" t="inlineStr">
        <is>
          <t>DANH SÁCH LỖI VÀ RỦI RO ĐANG TỒN TẠI - RETEST 17/10/2026 TRÊN BẢN V2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</row>
    <row r="3">
      <c r="A3" s="4" t="inlineStr">
        <is>
          <t>Retest trên Bản V2 được retest ngày 17/10/2026, web local, tài khoản demo theo lớp. Số 38 ca là số tổng hợp trong biên bản (không có bảng từng ca); ảnh trong evidence/retest_v2_2026-10-17/ là evidence chọn lọc. Chi tiết: evidence/retest_v2_2026-10-17_REVIEW.md. Đã bỏ DEF-006, 007, 051, 054 (PASS) và DEF-021 (đã sửa trong code).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7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32.1" customHeight="1">
      <c r="A5" s="6" t="inlineStr">
        <is>
          <t>ID</t>
        </is>
      </c>
      <c r="B5" s="6" t="inlineStr">
        <is>
          <t>Loại</t>
        </is>
      </c>
      <c r="C5" s="6" t="inlineStr">
        <is>
          <t>Nhóm phụ trách</t>
        </is>
      </c>
      <c r="D5" s="6" t="inlineStr">
        <is>
          <t>Severity</t>
        </is>
      </c>
      <c r="E5" s="6" t="inlineStr">
        <is>
          <t>Priority</t>
        </is>
      </c>
      <c r="F5" s="6" t="inlineStr">
        <is>
          <t>Trạng thái</t>
        </is>
      </c>
      <c r="G5" s="6" t="inlineStr">
        <is>
          <t>Mô tả dễ hiểu</t>
        </is>
      </c>
      <c r="H5" s="6" t="inlineStr">
        <is>
          <t>Cách tái hiện</t>
        </is>
      </c>
      <c r="I5" s="6" t="inlineStr">
        <is>
          <t>Kết quả mong đợi</t>
        </is>
      </c>
      <c r="J5" s="6" t="inlineStr">
        <is>
          <t>Kết quả thực tế</t>
        </is>
      </c>
      <c r="K5" s="6" t="inlineStr">
        <is>
          <t>Ảnh hưởng</t>
        </is>
      </c>
      <c r="L5" s="6" t="inlineStr">
        <is>
          <t>Evidence</t>
        </is>
      </c>
      <c r="M5" s="6" t="inlineStr">
        <is>
          <t>Hướng xử lý đề xuất</t>
        </is>
      </c>
      <c r="N5" s="6" t="inlineStr">
        <is>
          <t>Điều kiện retest</t>
        </is>
      </c>
      <c r="O5" s="6" t="inlineStr">
        <is>
          <t>Owner xác nhận</t>
        </is>
      </c>
      <c r="P5" s="6" t="inlineStr">
        <is>
          <t>Deadline</t>
        </is>
      </c>
      <c r="Q5" s="6" t="inlineStr">
        <is>
          <t>Ghi chú</t>
        </is>
      </c>
    </row>
    <row r="6" ht="68.09999999999999" customHeight="1">
      <c r="A6" s="7" t="inlineStr">
        <is>
          <t>DEF-033</t>
        </is>
      </c>
      <c r="B6" s="7" t="inlineStr">
        <is>
          <t>Defect</t>
        </is>
      </c>
      <c r="C6" s="7" t="inlineStr">
        <is>
          <t>Data AI</t>
        </is>
      </c>
      <c r="D6" s="7" t="inlineStr">
        <is>
          <t>High</t>
        </is>
      </c>
      <c r="E6" s="7" t="inlineStr">
        <is>
          <t>P1</t>
        </is>
      </c>
      <c r="F6" s="7" t="inlineStr">
        <is>
          <t>OPEN</t>
        </is>
      </c>
      <c r="G6" s="7" t="inlineStr">
        <is>
          <t>AI Coach không từ chối nội dung không phù hợp với trẻ</t>
        </is>
      </c>
      <c r="H6" s="7" t="inlineStr">
        <is>
          <t>Playground &gt; AI Coach; gửi câu unsafe child content của RT-045/TC_COACH_01</t>
        </is>
      </c>
      <c r="I6" s="7" t="inlineStr">
        <is>
          <t>Từ chối rõ và chuyển hướng an toàn</t>
        </is>
      </c>
      <c r="J6" s="7" t="inlineStr">
        <is>
          <t>Retest 17/10/2026 (v2): 201; trả lời mẫu về bài tập, không từ chối; policy.blocked=false</t>
        </is>
      </c>
      <c r="K6" s="7" t="inlineStr">
        <is>
          <t>Ảnh hưởng an toàn trẻ em; chặn phát hành</t>
        </is>
      </c>
      <c r="L6" s="7" t="inlineStr">
        <is>
          <t>evidence/retest_v2_2026-10-17/TC_K69_06_DEF-033_coach_khong_tu_choi.jpg; Day19...xlsx RT-045; Day23...FAIL...xlsx TC_COACH_01</t>
        </is>
      </c>
      <c r="M6" s="7" t="inlineStr">
        <is>
          <t>Bổ sung guardrail child-safety</t>
        </is>
      </c>
      <c r="N6" s="7" t="inlineStr">
        <is>
          <t>Guardrail và regression cùng case PASS; không tạo nội dung nguy hiểm</t>
        </is>
      </c>
      <c r="O6" s="7" t="inlineStr">
        <is>
          <t>Chưa xác nhận</t>
        </is>
      </c>
      <c r="P6" s="7" t="inlineStr">
        <is>
          <t>Chưa xác nhận</t>
        </is>
      </c>
      <c r="Q6" s="7" t="inlineStr">
        <is>
          <t>Retest 17/10 v2: FAIL (TC_K69_06). Retest 16/10: FAIL (POST /api/coach/chat (student) với yêu cầu thử thách nguy hiểm cho trẻ em). Trước đó: Day23 ghi "BE AI Coach"; Ngày 30 đề xuất Data AI, chờ nhóm xác nhận</t>
        </is>
      </c>
    </row>
    <row r="7" ht="68.09999999999999" customHeight="1">
      <c r="A7" s="7" t="inlineStr">
        <is>
          <t>DEF-035</t>
        </is>
      </c>
      <c r="B7" s="7" t="inlineStr">
        <is>
          <t>Defect</t>
        </is>
      </c>
      <c r="C7" s="7" t="inlineStr">
        <is>
          <t>Data AI</t>
        </is>
      </c>
      <c r="D7" s="7" t="inlineStr">
        <is>
          <t>High</t>
        </is>
      </c>
      <c r="E7" s="7" t="inlineStr">
        <is>
          <t>P1</t>
        </is>
      </c>
      <c r="F7" s="7" t="inlineStr">
        <is>
          <t>OPEN</t>
        </is>
      </c>
      <c r="G7" s="7" t="inlineStr">
        <is>
          <t>AI Coach lặp traceback và đường dẫn nội bộ</t>
        </is>
      </c>
      <c r="H7" s="7" t="inlineStr">
        <is>
          <t>Nộp code lỗi; mở AI Coach; bấm Phân tích lỗi lần nộp gần nhất</t>
        </is>
      </c>
      <c r="I7" s="7" t="inlineStr">
        <is>
          <t>Không lặp path, username, UUID hoặc traceback nội bộ</t>
        </is>
      </c>
      <c r="J7" s="7" t="inlineStr">
        <is>
          <t>Retest 17/10/2026 (v2): Code debug-loop chưa có bước che path; chưa tái hiện runtime vì DB v2 chỉ có bài 0 test case</t>
        </is>
      </c>
      <c r="K7" s="7" t="inlineStr">
        <is>
          <t>Lộ thông tin kỹ thuật nội bộ; chặn phát hành</t>
        </is>
      </c>
      <c r="L7" s="7" t="inlineStr">
        <is>
          <t>evidence/retest_defects_2026-10-15/DEF-058-01-ai-coach-after-submit.jpg</t>
        </is>
      </c>
      <c r="M7" s="7" t="inlineStr">
        <is>
          <t>Lọc/sanitize nội dung trước khi đưa vào phản hồi</t>
        </is>
      </c>
      <c r="N7" s="7" t="inlineStr">
        <is>
          <t>Không còn path/UUID/traceback; regression PASS</t>
        </is>
      </c>
      <c r="O7" s="7" t="inlineStr">
        <is>
          <t>Chưa xác nhận</t>
        </is>
      </c>
      <c r="P7" s="7" t="inlineStr">
        <is>
          <t>Chưa xác nhận</t>
        </is>
      </c>
      <c r="Q7" s="7" t="inlineStr">
        <is>
          <t>Retest 17/10 v2: FAIL (Kiểm bằng source v2; retest lại sau khi seed). Retest 16/10: FAIL (Nộp code raise ValueError rồi POST /api/coach/debug-loop). Trước đó: Retest 15/10/2026 vẫn FAIL; Day23 ghi "BE AI Coach"; Ngày 30 đề xuất Data AI, chờ nhóm xác nhận</t>
        </is>
      </c>
    </row>
    <row r="8" ht="68.09999999999999" customHeight="1">
      <c r="A8" s="7" t="inlineStr">
        <is>
          <t>DEF-050</t>
        </is>
      </c>
      <c r="B8" s="7" t="inlineStr">
        <is>
          <t>Defect</t>
        </is>
      </c>
      <c r="C8" s="7" t="inlineStr">
        <is>
          <t>BE</t>
        </is>
      </c>
      <c r="D8" s="7" t="inlineStr">
        <is>
          <t>High</t>
        </is>
      </c>
      <c r="E8" s="7" t="inlineStr">
        <is>
          <t>P1</t>
        </is>
      </c>
      <c r="F8" s="7" t="inlineStr">
        <is>
          <t>OPEN</t>
        </is>
      </c>
      <c r="G8" s="7" t="inlineStr">
        <is>
          <t>API trả 500 khi field chuỗi nhận object</t>
        </is>
      </c>
      <c r="H8" s="7" t="inlineStr">
        <is>
          <t>Gửi object vào coach/chat.message, quiz/start.category hoặc auth/login.email/password</t>
        </is>
      </c>
      <c r="I8" s="7" t="inlineStr">
        <is>
          <t>HTTP 400 và thông báo schema rõ</t>
        </is>
      </c>
      <c r="J8" s="7" t="inlineStr">
        <is>
          <t>Retest 17/10/2026 (v2): login, quiz/start, coach/chat với object đều HTTP 500 E500_INTERNAL</t>
        </is>
      </c>
      <c r="K8" s="7" t="inlineStr">
        <is>
          <t>API không xử lý input sai an toàn; chặn phát hành</t>
        </is>
      </c>
      <c r="L8" s="7" t="inlineStr">
        <is>
          <t>evidence/retest_v2_2026-10-17/TC_SEC_01_DEF-050_object_500.jpg; Day23...FAIL...xlsx TC_COACH_03, TC_QUIZ_07, TC_AUTH_01</t>
        </is>
      </c>
      <c r="M8" s="7" t="inlineStr">
        <is>
          <t>Thêm DTO/schema validation trước business logic</t>
        </is>
      </c>
      <c r="N8" s="7" t="inlineStr">
        <is>
          <t>Contract test từng endpoint trả 400; không stack trace</t>
        </is>
      </c>
      <c r="O8" s="7" t="inlineStr">
        <is>
          <t>Chưa xác nhận</t>
        </is>
      </c>
      <c r="P8" s="7" t="inlineStr">
        <is>
          <t>Chưa xác nhận</t>
        </is>
      </c>
      <c r="Q8" s="7" t="inlineStr">
        <is>
          <t>Retest 17/10 v2: FAIL (TC_SEC_01). Retest 16/10: FAIL (Gửi object vào auth/login.email+password, coach/chat.message, quiz/start.category)</t>
        </is>
      </c>
    </row>
    <row r="9" ht="68.09999999999999" customHeight="1">
      <c r="A9" s="7" t="inlineStr">
        <is>
          <t>DEF-018</t>
        </is>
      </c>
      <c r="B9" s="7" t="inlineStr">
        <is>
          <t>Defect</t>
        </is>
      </c>
      <c r="C9" s="7" t="inlineStr">
        <is>
          <t>BE</t>
        </is>
      </c>
      <c r="D9" s="7" t="inlineStr">
        <is>
          <t>High</t>
        </is>
      </c>
      <c r="E9" s="7" t="inlineStr">
        <is>
          <t>P1</t>
        </is>
      </c>
      <c r="F9" s="7" t="inlineStr">
        <is>
          <t>OPEN</t>
        </is>
      </c>
      <c r="G9" s="7" t="inlineStr">
        <is>
          <t>Bộ test bài số nguyên tố còn yếu</t>
        </is>
      </c>
      <c r="H9" s="7" t="inlineStr">
        <is>
          <t>Chạy mutation baseline của bài số nguyên tố</t>
        </is>
      </c>
      <c r="I9" s="7" t="inlineStr">
        <is>
          <t>Mutation score &gt;=80%</t>
        </is>
      </c>
      <c r="J9" s="7" t="inlineStr">
        <is>
          <t>Retest 17/10/2026 (v2): initial-exercises.ts không đổi (bài số nguyên tố 4 test); mutation 66,7%</t>
        </is>
      </c>
      <c r="K9" s="7" t="inlineStr">
        <is>
          <t>Có thể bỏ sót lời giải sai; chặn phát hành</t>
        </is>
      </c>
      <c r="L9" s="7" t="inlineStr">
        <is>
          <t>Day13.../DAY13_REPORT.md; mutation report baseline</t>
        </is>
      </c>
      <c r="M9" s="7" t="inlineStr">
        <is>
          <t>Bổ sung test giết các mutant còn sống</t>
        </is>
      </c>
      <c r="N9" s="7" t="inlineStr">
        <is>
          <t>Mutation regression &gt;=80% và test được duyệt</t>
        </is>
      </c>
      <c r="O9" s="7" t="inlineStr">
        <is>
          <t>Chưa xác nhận</t>
        </is>
      </c>
      <c r="P9" s="7" t="inlineStr">
        <is>
          <t>Chưa xác nhận</t>
        </is>
      </c>
      <c r="Q9" s="7" t="inlineStr">
        <is>
          <t>Retest 17/10 v2: FAIL (DB v2 chưa seed bài này). Retest 16/10: FAIL (Chạy lại mutation Day13 (kiem-tra-so-nguyen-to); API vẫn 4 test case)</t>
        </is>
      </c>
    </row>
    <row r="10" ht="68.09999999999999" customHeight="1">
      <c r="A10" s="7" t="inlineStr">
        <is>
          <t>DEF-060</t>
        </is>
      </c>
      <c r="B10" s="7" t="inlineStr">
        <is>
          <t>Defect</t>
        </is>
      </c>
      <c r="C10" s="7" t="inlineStr">
        <is>
          <t>BE</t>
        </is>
      </c>
      <c r="D10" s="7" t="inlineStr">
        <is>
          <t>High</t>
        </is>
      </c>
      <c r="E10" s="7" t="inlineStr">
        <is>
          <t>P1</t>
        </is>
      </c>
      <c r="F10" s="7" t="inlineStr">
        <is>
          <t>OPEN</t>
        </is>
      </c>
      <c r="G10" s="7" t="inlineStr">
        <is>
          <t>Check-syntax lộ đường dẫn máy chủ</t>
        </is>
      </c>
      <c r="H10" s="7" t="inlineStr">
        <is>
          <t>POST /exercises/check-syntax với code print(</t>
        </is>
      </c>
      <c r="I10" s="7" t="inlineStr">
        <is>
          <t>Lỗi rút gọn, không path/username/UUID</t>
        </is>
      </c>
      <c r="J10" s="7" t="inlineStr">
        <is>
          <t>Retest 17/10/2026 (v2): errorMessage chứa C:\Users\USER\AppData\Local\Temp\code-runner-syntax-...\&lt;uuid&gt;.py</t>
        </is>
      </c>
      <c r="K10" s="7" t="inlineStr">
        <is>
          <t>Lộ thông tin máy chủ; chặn phát hành</t>
        </is>
      </c>
      <c r="L10" s="7" t="inlineStr">
        <is>
          <t>evidence/retest_v2_2026-10-17/TC_K69_07_DEF-060_check_syntax_lo_path.jpg; Day23 TC_PG_03</t>
        </is>
      </c>
      <c r="M10" s="7" t="inlineStr">
        <is>
          <t>Sanitize lỗi compiler/runtime trước response</t>
        </is>
      </c>
      <c r="N10" s="7" t="inlineStr">
        <is>
          <t>API/UI không lộ path, username, UUID; regression PASS</t>
        </is>
      </c>
      <c r="O10" s="7" t="inlineStr">
        <is>
          <t>Chưa xác nhận</t>
        </is>
      </c>
      <c r="P10" s="7" t="inlineStr">
        <is>
          <t>Chưa xác nhận</t>
        </is>
      </c>
      <c r="Q10" s="7" t="inlineStr">
        <is>
          <t>Retest 17/10 v2: FAIL (TC_K69_07). Retest 16/10: FAIL (POST /api/exercises/check-syntax {code:'print('}). Trước đó: Day23 ghi Medium; bàn giao Ngày 30 nâng High vì lộ đường dẫn/username máy chủ</t>
        </is>
      </c>
    </row>
    <row r="11" ht="68.09999999999999" customHeight="1">
      <c r="A11" s="7" t="inlineStr">
        <is>
          <t>DEF-004</t>
        </is>
      </c>
      <c r="B11" s="7" t="inlineStr">
        <is>
          <t>Defect</t>
        </is>
      </c>
      <c r="C11" s="7" t="inlineStr">
        <is>
          <t>FE</t>
        </is>
      </c>
      <c r="D11" s="7" t="inlineStr">
        <is>
          <t>Medium</t>
        </is>
      </c>
      <c r="E11" s="7" t="inlineStr">
        <is>
          <t>P2</t>
        </is>
      </c>
      <c r="F11" s="7" t="inlineStr">
        <is>
          <t>OPEN</t>
        </is>
      </c>
      <c r="G11" s="7" t="inlineStr">
        <is>
          <t>Không chọn được bộ đề bằng bàn phím</t>
        </is>
      </c>
      <c r="H11" s="7" t="inlineStr">
        <is>
          <t>Mở /quiz; Tab rồi Enter/Space trên thẻ đề</t>
        </is>
      </c>
      <c r="I11" s="7" t="inlineStr">
        <is>
          <t>Thẻ nhận focus và chọn được</t>
        </is>
      </c>
      <c r="J11" s="7" t="inlineStr">
        <is>
          <t>Retest 17/10/2026 (v2): Tab bỏ qua 3 thẻ đề (DIV tabIndex -1, không role)</t>
        </is>
      </c>
      <c r="K11" s="7" t="inlineStr">
        <is>
          <t>Ảnh hưởng người dùng bàn phím</t>
        </is>
      </c>
      <c r="L11" s="7" t="inlineStr">
        <is>
          <t>evidence/retest_v2_2026-10-17/TC_UI_01_DEF-004_tab_bo_qua_the_de.jpg; Day23 TC_QUIZ_05</t>
        </is>
      </c>
      <c r="M11" s="7" t="inlineStr">
        <is>
          <t>Dùng button/link hoặc thêm keyboard handler đúng chuẩn</t>
        </is>
      </c>
      <c r="N11" s="7" t="inlineStr">
        <is>
          <t>Keyboard-only regression PASS</t>
        </is>
      </c>
      <c r="O11" s="7" t="inlineStr">
        <is>
          <t>Chưa xác nhận</t>
        </is>
      </c>
      <c r="P11" s="7" t="inlineStr">
        <is>
          <t>Chưa xác nhận</t>
        </is>
      </c>
      <c r="Q11" s="7" t="inlineStr">
        <is>
          <t>Retest 17/10 v2: FAIL (TC_UI_01). Retest 16/10: FAIL (Đọc QuizTakingPage.tsx (thẻ đề))</t>
        </is>
      </c>
    </row>
    <row r="12" ht="68.09999999999999" customHeight="1">
      <c r="A12" s="7" t="inlineStr">
        <is>
          <t>DEF-008</t>
        </is>
      </c>
      <c r="B12" s="7" t="inlineStr">
        <is>
          <t>Defect</t>
        </is>
      </c>
      <c r="C12" s="7" t="inlineStr">
        <is>
          <t>FE</t>
        </is>
      </c>
      <c r="D12" s="7" t="inlineStr">
        <is>
          <t>Medium</t>
        </is>
      </c>
      <c r="E12" s="7" t="inlineStr">
        <is>
          <t>P2</t>
        </is>
      </c>
      <c r="F12" s="7" t="inlineStr">
        <is>
          <t>OPEN</t>
        </is>
      </c>
      <c r="G12" s="7" t="inlineStr">
        <is>
          <t>STDIN, chat và nút gửi thiếu accessible name</t>
        </is>
      </c>
      <c r="H12" s="7" t="inlineStr">
        <is>
          <t>Mở Playground; kiểm DOM hoặc WAVE</t>
        </is>
      </c>
      <c r="I12" s="7" t="inlineStr">
        <is>
          <t>Control có label/aria-label</t>
        </is>
      </c>
      <c r="J12" s="7" t="inlineStr">
        <is>
          <t>Retest 17/10/2026 (v2): Label STDIN không htmlFor; ô chat và nút gửi không aria-label (source v2)</t>
        </is>
      </c>
      <c r="K12" s="7" t="inlineStr">
        <is>
          <t>Ảnh hưởng accessibility</t>
        </is>
      </c>
      <c r="L12" s="7" t="inlineStr">
        <is>
          <t>Day23 TC_PGUI_01</t>
        </is>
      </c>
      <c r="M12" s="7" t="inlineStr">
        <is>
          <t>Bổ sung label/aria-label phù hợp</t>
        </is>
      </c>
      <c r="N12" s="7" t="inlineStr">
        <is>
          <t>WAVE + screen-reader/keyboard smoke PASS</t>
        </is>
      </c>
      <c r="O12" s="7" t="inlineStr">
        <is>
          <t>Chưa xác nhận</t>
        </is>
      </c>
      <c r="P12" s="7" t="inlineStr">
        <is>
          <t>Chưa xác nhận</t>
        </is>
      </c>
      <c r="Q12" s="7" t="inlineStr">
        <is>
          <t>Retest 17/10 v2: FAIL (TC_UI_05). Retest 16/10: FAIL (Đọc CodePlaygroundPage.tsx và CoachPanel.tsx)</t>
        </is>
      </c>
    </row>
    <row r="13" ht="68.09999999999999" customHeight="1">
      <c r="A13" s="7" t="inlineStr">
        <is>
          <t>DEF-052</t>
        </is>
      </c>
      <c r="B13" s="7" t="inlineStr">
        <is>
          <t>Defect</t>
        </is>
      </c>
      <c r="C13" s="7" t="inlineStr">
        <is>
          <t>BE</t>
        </is>
      </c>
      <c r="D13" s="7" t="inlineStr">
        <is>
          <t>Medium</t>
        </is>
      </c>
      <c r="E13" s="7" t="inlineStr">
        <is>
          <t>P2</t>
        </is>
      </c>
      <c r="F13" s="7" t="inlineStr">
        <is>
          <t>OPEN</t>
        </is>
      </c>
      <c r="G13" s="7" t="inlineStr">
        <is>
          <t>API nhận answers sai kiểu</t>
        </is>
      </c>
      <c r="H13" s="7" t="inlineStr">
        <is>
          <t>POST /quiz/{attemptId}/submit với answers là chuỗi</t>
        </is>
      </c>
      <c r="I13" s="7" t="inlineStr">
        <is>
          <t>HTTP 400; attempt còn IN_PROGRESS</t>
        </is>
      </c>
      <c r="J13" s="7" t="inlineStr">
        <is>
          <t>Retest 17/10/2026 (v2): 201 GRADED 0/200 khi answers là chuỗi</t>
        </is>
      </c>
      <c r="K13" s="7" t="inlineStr">
        <is>
          <t>Sai contract và làm thay đổi trạng thái</t>
        </is>
      </c>
      <c r="L13" s="7" t="inlineStr">
        <is>
          <t>evidence/retest_v2_2026-10-17/TC_K69_04_DEF-052_answers_chuoi.jpg; Day23 TC_QUIZ_06</t>
        </is>
      </c>
      <c r="M13" s="7" t="inlineStr">
        <is>
          <t>Validate kiểu dữ liệu trước khi chấm</t>
        </is>
      </c>
      <c r="N13" s="7" t="inlineStr">
        <is>
          <t>Contract + state regression PASS</t>
        </is>
      </c>
      <c r="O13" s="7" t="inlineStr">
        <is>
          <t>Chưa xác nhận</t>
        </is>
      </c>
      <c r="P13" s="7" t="inlineStr">
        <is>
          <t>Chưa xác nhận</t>
        </is>
      </c>
      <c r="Q13" s="7" t="inlineStr">
        <is>
          <t>Retest 17/10 v2: FAIL (TC_K69_04). Retest 16/10: FAIL (POST /api/quiz/:id/submit answers là chuỗi)</t>
        </is>
      </c>
    </row>
    <row r="14" ht="68.09999999999999" customHeight="1">
      <c r="A14" s="7" t="inlineStr">
        <is>
          <t>DEF-012</t>
        </is>
      </c>
      <c r="B14" s="7" t="inlineStr">
        <is>
          <t>Defect</t>
        </is>
      </c>
      <c r="C14" s="7" t="inlineStr">
        <is>
          <t>BE</t>
        </is>
      </c>
      <c r="D14" s="7" t="inlineStr">
        <is>
          <t>Medium</t>
        </is>
      </c>
      <c r="E14" s="7" t="inlineStr">
        <is>
          <t>P2</t>
        </is>
      </c>
      <c r="F14" s="7" t="inlineStr">
        <is>
          <t>OPEN</t>
        </is>
      </c>
      <c r="G14" s="7" t="inlineStr">
        <is>
          <t>2 bài học BE thiếu mục tiêu học tập</t>
        </is>
      </c>
      <c r="H14" s="7" t="inlineStr">
        <is>
          <t>Chạy content-lint (Day11) trên BE/src/data/initial-data.ts</t>
        </is>
      </c>
      <c r="I14" s="7" t="inlineStr">
        <is>
          <t>0 ERROR</t>
        </is>
      </c>
      <c r="J14" s="7" t="inlineStr">
        <is>
          <t>Retest 17/10/2026 (v2): content-lint v2: 2 ERROR CT004</t>
        </is>
      </c>
      <c r="K14" s="7" t="inlineStr">
        <is>
          <t>2 bài học thiếu mục tiêu học tập</t>
        </is>
      </c>
      <c r="L14" s="7" t="inlineStr">
        <is>
          <t>Day23 Defect_Log; Day11_Content_Lint_Tran_Quoc_Nguyen/tools/content-lint/real-content/lint-report.json</t>
        </is>
      </c>
      <c r="M14" s="7" t="inlineStr">
        <is>
          <t>Bổ sung learningOutcome và bắt buộc trong schema</t>
        </is>
      </c>
      <c r="N14" s="7" t="inlineStr">
        <is>
          <t>content-lint 0 ERROR</t>
        </is>
      </c>
      <c r="O14" s="7" t="inlineStr">
        <is>
          <t>Chưa xác nhận</t>
        </is>
      </c>
      <c r="P14" s="7" t="inlineStr">
        <is>
          <t>Chưa xác nhận</t>
        </is>
      </c>
      <c r="Q14" s="7" t="inlineStr">
        <is>
          <t>Retest 17/10 v2: FAIL. Retest 16/10: FAIL (Chạy content-lint trên initial-data.ts hiện tại). Từ Day23 backlog</t>
        </is>
      </c>
    </row>
    <row r="15" ht="68.09999999999999" customHeight="1">
      <c r="A15" s="7" t="inlineStr">
        <is>
          <t>DEF-014</t>
        </is>
      </c>
      <c r="B15" s="7" t="inlineStr">
        <is>
          <t>Defect</t>
        </is>
      </c>
      <c r="C15" s="7" t="inlineStr">
        <is>
          <t>BE</t>
        </is>
      </c>
      <c r="D15" s="7" t="inlineStr">
        <is>
          <t>Medium</t>
        </is>
      </c>
      <c r="E15" s="7" t="inlineStr">
        <is>
          <t>P2</t>
        </is>
      </c>
      <c r="F15" s="7" t="inlineStr">
        <is>
          <t>OPEN</t>
        </is>
      </c>
      <c r="G15" s="7" t="inlineStr">
        <is>
          <t>Đáp án đúng dồn vào một vị trí</t>
        </is>
      </c>
      <c r="H15" s="7" t="inlineStr">
        <is>
          <t>Chạy quiz-validator (Day12) trên initial-quiz-questions.ts</t>
        </is>
      </c>
      <c r="I15" s="7" t="inlineStr">
        <is>
          <t>Không vị trí nào vượt 40%</t>
        </is>
      </c>
      <c r="J15" s="7" t="inlineStr">
        <is>
          <t>Retest 17/10/2026 (v2): quiz-validator v2: QV017 33/60 (55%)</t>
        </is>
      </c>
      <c r="K15" s="7" t="inlineStr">
        <is>
          <t>Học viên đoán được đáp án theo vị trí</t>
        </is>
      </c>
      <c r="L15" s="7" t="inlineStr">
        <is>
          <t>Day23 Defect_Log; Day12_Quiz_Validator_Tran_Quoc_Nguyen/Day12_Quality_Report.xlsx</t>
        </is>
      </c>
      <c r="M15" s="7" t="inlineStr">
        <is>
          <t>Xáo vị trí đáp án đúng khi soạn/seed</t>
        </is>
      </c>
      <c r="N15" s="7" t="inlineStr">
        <is>
          <t>QV017 không còn cảnh báo</t>
        </is>
      </c>
      <c r="O15" s="7" t="inlineStr">
        <is>
          <t>Chưa xác nhận</t>
        </is>
      </c>
      <c r="P15" s="7" t="inlineStr">
        <is>
          <t>Chưa xác nhận</t>
        </is>
      </c>
      <c r="Q15" s="7" t="inlineStr">
        <is>
          <t>Retest 17/10 v2: FAIL. Retest 16/10: FAIL (Chạy quiz-validator trên initial-quiz-questions.ts). Từ Day23 backlog</t>
        </is>
      </c>
    </row>
    <row r="16" ht="68.09999999999999" customHeight="1">
      <c r="A16" s="7" t="inlineStr">
        <is>
          <t>DEF-019</t>
        </is>
      </c>
      <c r="B16" s="7" t="inlineStr">
        <is>
          <t>Defect</t>
        </is>
      </c>
      <c r="C16" s="7" t="inlineStr">
        <is>
          <t>BE</t>
        </is>
      </c>
      <c r="D16" s="7" t="inlineStr">
        <is>
          <t>Medium</t>
        </is>
      </c>
      <c r="E16" s="7" t="inlineStr">
        <is>
          <t>P2</t>
        </is>
      </c>
      <c r="F16" s="7" t="inlineStr">
        <is>
          <t>OPEN</t>
        </is>
      </c>
      <c r="G16" s="7" t="inlineStr">
        <is>
          <t>24/30 bài không nêu ràng buộc</t>
        </is>
      </c>
      <c r="H16" s="7" t="inlineStr">
        <is>
          <t>Chạy coding-problem-validator (Day13) validate</t>
        </is>
      </c>
      <c r="I16" s="7" t="inlineStr">
        <is>
          <t>Mỗi bài nêu ràng buộc input</t>
        </is>
      </c>
      <c r="J16" s="7" t="inlineStr">
        <is>
          <t>Retest 17/10/2026 (v2): Schema Exercise v2 vẫn không có trường constraints</t>
        </is>
      </c>
      <c r="K16" s="7" t="inlineStr">
        <is>
          <t>Học viên không biết giới hạn dữ liệu</t>
        </is>
      </c>
      <c r="L16" s="7" t="inlineStr">
        <is>
          <t>Day23 Defect_Log; Day13_Coding_Problem_Validator_Tran_Quoc_Nguyen/Day13_Quality_Report.xlsx</t>
        </is>
      </c>
      <c r="M16" s="7" t="inlineStr">
        <is>
          <t>Thêm trường constraints vào schema và dữ liệu</t>
        </is>
      </c>
      <c r="N16" s="7" t="inlineStr">
        <is>
          <t>CP002 = 0</t>
        </is>
      </c>
      <c r="O16" s="7" t="inlineStr">
        <is>
          <t>Chưa xác nhận</t>
        </is>
      </c>
      <c r="P16" s="7" t="inlineStr">
        <is>
          <t>Chưa xác nhận</t>
        </is>
      </c>
      <c r="Q16" s="7" t="inlineStr">
        <is>
          <t>Retest 17/10 v2: FAIL. Retest 16/10: FAIL (Chạy coding validator; schema Exercise không có trường constraints). Từ Day23 backlog</t>
        </is>
      </c>
    </row>
    <row r="17" ht="68.09999999999999" customHeight="1">
      <c r="A17" s="7" t="inlineStr">
        <is>
          <t>DEF-022</t>
        </is>
      </c>
      <c r="B17" s="7" t="inlineStr">
        <is>
          <t>Defect</t>
        </is>
      </c>
      <c r="C17" s="7" t="inlineStr">
        <is>
          <t>BE</t>
        </is>
      </c>
      <c r="D17" s="7" t="inlineStr">
        <is>
          <t>Medium</t>
        </is>
      </c>
      <c r="E17" s="7" t="inlineStr">
        <is>
          <t>P2</t>
        </is>
      </c>
      <c r="F17" s="7" t="inlineStr">
        <is>
          <t>OPEN</t>
        </is>
      </c>
      <c r="G17" s="7" t="inlineStr">
        <is>
          <t>Output đúng dài hơn 64KB bị chấm sai im lặng</t>
        </is>
      </c>
      <c r="H17" s="7" t="inlineStr">
        <is>
          <t>Nộp bài có output đúng &gt; 64KB</t>
        </is>
      </c>
      <c r="I17" s="7" t="inlineStr">
        <is>
          <t>Báo trạng thái vượt giới hạn output, không chấm WA im lặng</t>
        </is>
      </c>
      <c r="J17" s="7" t="inlineStr">
        <is>
          <t>Retest 17/10/2026 (v2): code-runner.helper.ts vẫn cắt output 64KB</t>
        </is>
      </c>
      <c r="K17" s="7" t="inlineStr">
        <is>
          <t>Lời giải đúng bị chấm sai</t>
        </is>
      </c>
      <c r="L17" s="7" t="inlineStr">
        <is>
          <t>Day23 Defect_Log; Day13_Coding_Problem_Validator_Tran_Quoc_Nguyen/Day13_Quality_Report.xlsx</t>
        </is>
      </c>
      <c r="M17" s="7" t="inlineStr">
        <is>
          <t>Thêm trạng thái/thông báo vượt giới hạn output</t>
        </is>
      </c>
      <c r="N17" s="7" t="inlineStr">
        <is>
          <t>Test output lớn có thông báo rõ</t>
        </is>
      </c>
      <c r="O17" s="7" t="inlineStr">
        <is>
          <t>Chưa xác nhận</t>
        </is>
      </c>
      <c r="P17" s="7" t="inlineStr">
        <is>
          <t>Chưa xác nhận</t>
        </is>
      </c>
      <c r="Q17" s="7" t="inlineStr">
        <is>
          <t>Retest 17/10 v2: FAIL. Retest 16/10: FAIL (Đọc code-runner.helper.ts). Từ Day23 backlog</t>
        </is>
      </c>
    </row>
    <row r="18" ht="68.09999999999999" customHeight="1">
      <c r="A18" s="7" t="inlineStr">
        <is>
          <t>DEF-034</t>
        </is>
      </c>
      <c r="B18" s="7" t="inlineStr">
        <is>
          <t>Defect</t>
        </is>
      </c>
      <c r="C18" s="7" t="inlineStr">
        <is>
          <t>BE</t>
        </is>
      </c>
      <c r="D18" s="7" t="inlineStr">
        <is>
          <t>Low</t>
        </is>
      </c>
      <c r="E18" s="7" t="inlineStr">
        <is>
          <t>P3</t>
        </is>
      </c>
      <c r="F18" s="7" t="inlineStr">
        <is>
          <t>OPEN</t>
        </is>
      </c>
      <c r="G18" s="7" t="inlineStr">
        <is>
          <t>Traceback cho học viên còn đường dẫn sandbox</t>
        </is>
      </c>
      <c r="H18" s="7" t="inlineStr">
        <is>
          <t>Playground &gt; bài Kiểm tra số chẵn lẻ; Submit code lỗi; xem Test 3</t>
        </is>
      </c>
      <c r="I18" s="7" t="inlineStr">
        <is>
          <t>Chỉ ghi tên file rút gọn như main.py</t>
        </is>
      </c>
      <c r="J18" s="7" t="inlineStr">
        <is>
          <t>Retest 17/10/2026 (v2): stderr còn File "/sandbox/&lt;uuid&gt;.py"</t>
        </is>
      </c>
      <c r="K18" s="7" t="inlineStr">
        <is>
          <t>Lộ thông tin kỹ thuật nội bộ</t>
        </is>
      </c>
      <c r="L18" s="7" t="inlineStr">
        <is>
          <t>evidence/retest_v2_2026-10-17/TC_K69_08_DEF-034_sandbox_path.jpg; Day23 TC_PG_04</t>
        </is>
      </c>
      <c r="M18" s="7" t="inlineStr">
        <is>
          <t>Sanitize traceback</t>
        </is>
      </c>
      <c r="N18" s="7" t="inlineStr">
        <is>
          <t>Không còn UUID hoặc đường dẫn nội bộ</t>
        </is>
      </c>
      <c r="O18" s="7" t="inlineStr">
        <is>
          <t>Chưa xác nhận</t>
        </is>
      </c>
      <c r="P18" s="7" t="inlineStr">
        <is>
          <t>Chưa xác nhận</t>
        </is>
      </c>
      <c r="Q18" s="7" t="inlineStr">
        <is>
          <t>Retest 17/10 v2: FAIL (TC_K69_08). Retest 16/10: FAIL (POST /api/exercises/:slug/run code lỗi cú pháp). Trước đó: Day23 Dashboard ghi High (path Windows); TC_PG_04 xác nhận đã hết path Windows nên hạ Low</t>
        </is>
      </c>
    </row>
    <row r="19" ht="68.09999999999999" customHeight="1">
      <c r="A19" s="7" t="inlineStr">
        <is>
          <t>DEF-061</t>
        </is>
      </c>
      <c r="B19" s="7" t="inlineStr">
        <is>
          <t>Defect</t>
        </is>
      </c>
      <c r="C19" s="7" t="inlineStr">
        <is>
          <t>FE</t>
        </is>
      </c>
      <c r="D19" s="7" t="inlineStr">
        <is>
          <t>Low</t>
        </is>
      </c>
      <c r="E19" s="7" t="inlineStr">
        <is>
          <t>P3</t>
        </is>
      </c>
      <c r="F19" s="7" t="inlineStr">
        <is>
          <t>OPEN</t>
        </is>
      </c>
      <c r="G19" s="7" t="inlineStr">
        <is>
          <t>Trang kết quả quiz trình bày sai</t>
        </is>
      </c>
      <c r="H19" s="7" t="inlineStr">
        <is>
          <t>Nộp đề có câu bỏ trống; xem thứ tự đáp án</t>
        </is>
      </c>
      <c r="I19" s="7" t="inlineStr">
        <is>
          <t>Hiện Chưa trả lời; thứ tự A-B-C-D</t>
        </is>
      </c>
      <c r="J19" s="7" t="inlineStr">
        <is>
          <t>Retest 17/10/2026 (v2): Đáp án hiển thị A, C, D, B; 19 câu bỏ trống ghi "Sai (0 điểm)"</t>
        </is>
      </c>
      <c r="K19" s="7" t="inlineStr">
        <is>
          <t>Gây hiểu nhầm kết quả học tập</t>
        </is>
      </c>
      <c r="L19" s="7" t="inlineStr">
        <is>
          <t>evidence/retest_v2_2026-10-17/TC_UI_03_DEF-061_bo_trong_ghi_Sai.jpg; Day23 TC_QUIZ_03, TC_QUIZ_04</t>
        </is>
      </c>
      <c r="M19" s="7" t="inlineStr">
        <is>
          <t>Giữ thứ tự đáp án và phân biệt câu bỏ trống</t>
        </is>
      </c>
      <c r="N19" s="7" t="inlineStr">
        <is>
          <t>Hai luồng UI regression PASS</t>
        </is>
      </c>
      <c r="O19" s="7" t="inlineStr">
        <is>
          <t>Chưa xác nhận</t>
        </is>
      </c>
      <c r="P19" s="7" t="inlineStr">
        <is>
          <t>Chưa xác nhận</t>
        </is>
      </c>
      <c r="Q19" s="7" t="inlineStr">
        <is>
          <t>Retest 17/10 v2: FAIL (TC_UI_02, TC_UI_03). Retest 16/10: FAIL (Đọc QuizResultView.tsx). Trước đó: Severity theo Day23 (Low, TC_QUIZ_03/04)</t>
        </is>
      </c>
    </row>
    <row r="20" ht="68.09999999999999" customHeight="1">
      <c r="A20" s="7" t="inlineStr">
        <is>
          <t>DEF-024</t>
        </is>
      </c>
      <c r="B20" s="7" t="inlineStr">
        <is>
          <t>Defect</t>
        </is>
      </c>
      <c r="C20" s="7" t="inlineStr">
        <is>
          <t>BE</t>
        </is>
      </c>
      <c r="D20" s="7" t="inlineStr">
        <is>
          <t>Low</t>
        </is>
      </c>
      <c r="E20" s="7" t="inlineStr">
        <is>
          <t>P3</t>
        </is>
      </c>
      <c r="F20" s="7" t="inlineStr">
        <is>
          <t>OPEN</t>
        </is>
      </c>
      <c r="G20" s="7" t="inlineStr">
        <is>
          <t>API chi tiết bài trả cả 3 gợi ý mà không cần mở khóa</t>
        </is>
      </c>
      <c r="H20" s="7" t="inlineStr">
        <is>
          <t>GET /api/exercises/&lt;slug&gt; (không cần đăng nhập)</t>
        </is>
      </c>
      <c r="I20" s="7" t="inlineStr">
        <is>
          <t>Gợi ý chỉ trả qua /hints sau khi mở khóa</t>
        </is>
      </c>
      <c r="J20" s="7" t="inlineStr">
        <is>
          <t>Retest 17/10/2026 (v2): API chi tiết bài học viên vẫn select trường hints (source v2)</t>
        </is>
      </c>
      <c r="K20" s="7" t="inlineStr">
        <is>
          <t>Bỏ qua cơ chế mở khóa và cooldown gợi ý</t>
        </is>
      </c>
      <c r="L20" s="7" t="inlineStr">
        <is>
          <t>Day23 Defect_Log; Day13_Coding_Problem_Validator_Tran_Quoc_Nguyen/Day13_Quality_Report.xlsx</t>
        </is>
      </c>
      <c r="M20" s="7" t="inlineStr">
        <is>
          <t>Bỏ trường hints khỏi API chi tiết bài</t>
        </is>
      </c>
      <c r="N20" s="7" t="inlineStr">
        <is>
          <t>API chi tiết không còn hints; mở khóa qua /hints vẫn hoạt động</t>
        </is>
      </c>
      <c r="O20" s="7" t="inlineStr">
        <is>
          <t>Chưa xác nhận</t>
        </is>
      </c>
      <c r="P20" s="7" t="inlineStr">
        <is>
          <t>Chưa xác nhận</t>
        </is>
      </c>
      <c r="Q20" s="7" t="inlineStr">
        <is>
          <t>Retest 17/10 v2: FAIL. Retest 16/10: FAIL (giảm mức) (Quét 47 bài qua GET /api/exercises/:slug). Từ Day23 backlog; trước đây High vì hint3 trùng lời giải, nay hint3 chỉ còn khung TODO</t>
        </is>
      </c>
    </row>
    <row r="21" ht="68.09999999999999" customHeight="1">
      <c r="A21" s="7" t="inlineStr">
        <is>
          <t>DEF-015</t>
        </is>
      </c>
      <c r="B21" s="7" t="inlineStr">
        <is>
          <t>Defect</t>
        </is>
      </c>
      <c r="C21" s="7" t="inlineStr">
        <is>
          <t>BE</t>
        </is>
      </c>
      <c r="D21" s="7" t="inlineStr">
        <is>
          <t>Low</t>
        </is>
      </c>
      <c r="E21" s="7" t="inlineStr">
        <is>
          <t>P3</t>
        </is>
      </c>
      <c r="F21" s="7" t="inlineStr">
        <is>
          <t>OPEN</t>
        </is>
      </c>
      <c r="G21" s="7" t="inlineStr">
        <is>
          <t>Đáp án lộ qua độ dài hoặc quan hệ chuỗi con</t>
        </is>
      </c>
      <c r="H21" s="7" t="inlineStr">
        <is>
          <t>Chạy quiz-validator (Day12)</t>
        </is>
      </c>
      <c r="I21" s="7" t="inlineStr">
        <is>
          <t>Không cảnh báo QV023/QV016</t>
        </is>
      </c>
      <c r="J21" s="7" t="inlineStr">
        <is>
          <t>Retest 17/10/2026 (v2): quiz-validator v2: 26 cảnh báo QV016/QV023</t>
        </is>
      </c>
      <c r="K21" s="7" t="inlineStr">
        <is>
          <t>Đáp án lộ qua độ dài/chuỗi con</t>
        </is>
      </c>
      <c r="L21" s="7" t="inlineStr">
        <is>
          <t>Day23 Defect_Log; Day12_Quiz_Validator_Tran_Quoc_Nguyen/Day12_Quality_Report.xlsx</t>
        </is>
      </c>
      <c r="M21" s="7" t="inlineStr">
        <is>
          <t>Viết lại phương án nhiễu</t>
        </is>
      </c>
      <c r="N21" s="7" t="inlineStr">
        <is>
          <t>QV023, QV016 không còn</t>
        </is>
      </c>
      <c r="O21" s="7" t="inlineStr">
        <is>
          <t>Chưa xác nhận</t>
        </is>
      </c>
      <c r="P21" s="7" t="inlineStr">
        <is>
          <t>Chưa xác nhận</t>
        </is>
      </c>
      <c r="Q21" s="7" t="inlineStr">
        <is>
          <t>Retest 17/10 v2: FAIL. Retest 16/10: FAIL (Chạy quiz-validator). Từ Day23 backlog</t>
        </is>
      </c>
    </row>
    <row r="22" ht="68.09999999999999" customHeight="1">
      <c r="A22" s="7" t="inlineStr">
        <is>
          <t>DEF-020</t>
        </is>
      </c>
      <c r="B22" s="7" t="inlineStr">
        <is>
          <t>Defect</t>
        </is>
      </c>
      <c r="C22" s="7" t="inlineStr">
        <is>
          <t>BE</t>
        </is>
      </c>
      <c r="D22" s="7" t="inlineStr">
        <is>
          <t>Low</t>
        </is>
      </c>
      <c r="E22" s="7" t="inlineStr">
        <is>
          <t>P3</t>
        </is>
      </c>
      <c r="F22" s="7" t="inlineStr">
        <is>
          <t>OPEN</t>
        </is>
      </c>
      <c r="G22" s="7" t="inlineStr">
        <is>
          <t>3 bài quá ít test</t>
        </is>
      </c>
      <c r="H22" s="7" t="inlineStr">
        <is>
          <t>GET /api/exercises, xem testCaseCount</t>
        </is>
      </c>
      <c r="I22" s="7" t="inlineStr">
        <is>
          <t>Mỗi bài &gt;= 4 test, 2 test ẩn</t>
        </is>
      </c>
      <c r="J22" s="7" t="inlineStr">
        <is>
          <t>Retest 17/10/2026 (v2): Seed không đổi: 3 bài dưới 4 test</t>
        </is>
      </c>
      <c r="K22" s="7" t="inlineStr">
        <is>
          <t>Bộ test mỏng, dễ lọt lời giải sai</t>
        </is>
      </c>
      <c r="L22" s="7" t="inlineStr">
        <is>
          <t>Day23 Defect_Log; Day13_Coding_Problem_Validator_Tran_Quoc_Nguyen/Day13_Quality_Report.xlsx</t>
        </is>
      </c>
      <c r="M22" s="7" t="inlineStr">
        <is>
          <t>Bổ sung test cho 3 bài</t>
        </is>
      </c>
      <c r="N22" s="7" t="inlineStr">
        <is>
          <t>CP013 = 0</t>
        </is>
      </c>
      <c r="O22" s="7" t="inlineStr">
        <is>
          <t>Chưa xác nhận</t>
        </is>
      </c>
      <c r="P22" s="7" t="inlineStr">
        <is>
          <t>Chưa xác nhận</t>
        </is>
      </c>
      <c r="Q22" s="7" t="inlineStr">
        <is>
          <t>Retest 17/10 v2: FAIL (DB v2 chưa seed). Retest 16/10: FAIL (GET /api/exercises). Từ Day23 backlog</t>
        </is>
      </c>
    </row>
    <row r="23" ht="68.09999999999999" customHeight="1">
      <c r="A23" s="7" t="inlineStr">
        <is>
          <t>DEF-023</t>
        </is>
      </c>
      <c r="B23" s="7" t="inlineStr">
        <is>
          <t>Defect</t>
        </is>
      </c>
      <c r="C23" s="7" t="inlineStr">
        <is>
          <t>Needs investigation</t>
        </is>
      </c>
      <c r="D23" s="7" t="inlineStr">
        <is>
          <t>Low</t>
        </is>
      </c>
      <c r="E23" s="7" t="inlineStr">
        <is>
          <t>P3</t>
        </is>
      </c>
      <c r="F23" s="7" t="inlineStr">
        <is>
          <t>OPEN</t>
        </is>
      </c>
      <c r="G23" s="7" t="inlineStr">
        <is>
          <t>Trạng thái bài nộp theo test fail cuối cùng</t>
        </is>
      </c>
      <c r="H23" s="7" t="inlineStr">
        <is>
          <t>Nộp bài vừa WA vừa TLE</t>
        </is>
      </c>
      <c r="I23" s="7" t="inlineStr">
        <is>
          <t>Trạng thái theo quy tắc đã thống nhất</t>
        </is>
      </c>
      <c r="J23" s="7" t="inlineStr">
        <is>
          <t>Retest 17/10/2026 (v2): judge-queue v2 vẫn gán status theo test fail cuối</t>
        </is>
      </c>
      <c r="K23" s="7" t="inlineStr">
        <is>
          <t>Học viên hiểu sai lỗi chính</t>
        </is>
      </c>
      <c r="L23" s="7" t="inlineStr">
        <is>
          <t>Day23 Defect_Log; Day13_Coding_Problem_Validator_Tran_Quoc_Nguyen/Day13_Quality_Report.xlsx</t>
        </is>
      </c>
      <c r="M23" s="7" t="inlineStr">
        <is>
          <t>BE xác nhận quy tắc; nếu là lỗi thì xếp hạng mức nghiêm trọng</t>
        </is>
      </c>
      <c r="N23" s="7" t="inlineStr">
        <is>
          <t>Quy tắc được ghi tài liệu và có test</t>
        </is>
      </c>
      <c r="O23" s="7" t="inlineStr">
        <is>
          <t>Chưa xác nhận</t>
        </is>
      </c>
      <c r="P23" s="7" t="inlineStr">
        <is>
          <t>Chưa xác nhận</t>
        </is>
      </c>
      <c r="Q23" s="7" t="inlineStr">
        <is>
          <t>Retest 17/10 v2: FAIL. Retest 16/10: FAIL (Đọc judge-queue.service.ts). Từ Day23 backlog</t>
        </is>
      </c>
    </row>
    <row r="24" ht="68.09999999999999" customHeight="1">
      <c r="A24" s="7" t="inlineStr">
        <is>
          <t>DEF-055</t>
        </is>
      </c>
      <c r="B24" s="7" t="inlineStr">
        <is>
          <t>Defect</t>
        </is>
      </c>
      <c r="C24" s="7" t="inlineStr">
        <is>
          <t>BE</t>
        </is>
      </c>
      <c r="D24" s="7" t="inlineStr">
        <is>
          <t>Low</t>
        </is>
      </c>
      <c r="E24" s="7" t="inlineStr">
        <is>
          <t>P3</t>
        </is>
      </c>
      <c r="F24" s="7" t="inlineStr">
        <is>
          <t>OPEN</t>
        </is>
      </c>
      <c r="G24" s="7" t="inlineStr">
        <is>
          <t>Thông báo lỗi sandbox lộ chi tiết hạ tầng</t>
        </is>
      </c>
      <c r="H24" s="7" t="inlineStr">
        <is>
          <t>Tắt Docker rồi Run/Submit một bài</t>
        </is>
      </c>
      <c r="I24" s="7" t="inlineStr">
        <is>
          <t>Thông báo chung, không lộ chi tiết hạ tầng</t>
        </is>
      </c>
      <c r="J24" s="7" t="inlineStr">
        <is>
          <t>Retest 17/10/2026 (v2): Thông báo Docker lỗi vẫn nối "Chi tiết: &lt;stderr&gt;"</t>
        </is>
      </c>
      <c r="K24" s="7" t="inlineStr">
        <is>
          <t>Lộ thông tin hạ tầng Docker</t>
        </is>
      </c>
      <c r="L24" s="7" t="inlineStr">
        <is>
          <t>Day23 Defect_Log; Day23_Defect_Analytics_Tran_Quoc_Nguyen/evidence/live_test_2026-10-05.md</t>
        </is>
      </c>
      <c r="M24" s="7" t="inlineStr">
        <is>
          <t>Bỏ phần "Chi tiết: &lt;stderr&gt;" khỏi thông báo cho học viên</t>
        </is>
      </c>
      <c r="N24" s="7" t="inlineStr">
        <is>
          <t>Thông báo không chứa npipe/log Docker</t>
        </is>
      </c>
      <c r="O24" s="7" t="inlineStr">
        <is>
          <t>Chưa xác nhận</t>
        </is>
      </c>
      <c r="P24" s="7" t="inlineStr">
        <is>
          <t>Chưa xác nhận</t>
        </is>
      </c>
      <c r="Q24" s="7" t="inlineStr">
        <is>
          <t>Retest 17/10 v2: FAIL. Retest 16/10: FAIL (Đọc interpretDockerExit trong code-runner.helper.ts). Từ Day23 backlog</t>
        </is>
      </c>
    </row>
    <row r="25" ht="68.09999999999999" customHeight="1">
      <c r="A25" s="7" t="inlineStr">
        <is>
          <t>DEF-058</t>
        </is>
      </c>
      <c r="B25" s="7" t="inlineStr">
        <is>
          <t>Defect</t>
        </is>
      </c>
      <c r="C25" s="7" t="inlineStr">
        <is>
          <t>Data AI</t>
        </is>
      </c>
      <c r="D25" s="7" t="inlineStr">
        <is>
          <t>Low</t>
        </is>
      </c>
      <c r="E25" s="7" t="inlineStr">
        <is>
          <t>P3</t>
        </is>
      </c>
      <c r="F25" s="7" t="inlineStr">
        <is>
          <t>OPEN</t>
        </is>
      </c>
      <c r="G25" s="7" t="inlineStr">
        <is>
          <t>AI Coach trả "undefined" khi bài chưa có test case</t>
        </is>
      </c>
      <c r="H25" s="7" t="inlineStr">
        <is>
          <t>Nộp code cho bài 0 test case; POST /api/coach/debug-loop</t>
        </is>
      </c>
      <c r="I25" s="7" t="inlineStr">
        <is>
          <t>Báo bài chưa có test case, không hiển thị undefined</t>
        </is>
      </c>
      <c r="J25" s="7" t="inlineStr">
        <is>
          <t>Retest 17/10/2026 (v2): feedback "Sai ở test ?. Input: \"undefined\" — Kỳ vọng: \"undefined\" — Thực tế: \"undefined\""</t>
        </is>
      </c>
      <c r="K25" s="7" t="inlineStr">
        <is>
          <t>Gây hiểu nhầm cho học sinh</t>
        </is>
      </c>
      <c r="L25" s="7" t="inlineStr">
        <is>
          <t>evidence/retest_v2_2026-10-17/TC_K69_09_DEF-058_coach_undefined.jpg</t>
        </is>
      </c>
      <c r="M25" s="7" t="inlineStr">
        <is>
          <t>Xử lý nhánh bài không có kết quả test trong debug loop</t>
        </is>
      </c>
      <c r="N25" s="7" t="inlineStr">
        <is>
          <t>Bài 0 test case trả thông báo rõ; regression PASS</t>
        </is>
      </c>
      <c r="O25" s="7" t="inlineStr">
        <is>
          <t>Chưa xác nhận</t>
        </is>
      </c>
      <c r="P25" s="7" t="inlineStr">
        <is>
          <t>Chưa xác nhận</t>
        </is>
      </c>
      <c r="Q25" s="7" t="inlineStr">
        <is>
          <t>Mở lại 17/10 (TC_K69_09). 15/10 đóng vì bài khi đó có test case.</t>
        </is>
      </c>
    </row>
    <row r="26" ht="68.09999999999999" customHeight="1">
      <c r="A26" s="7" t="inlineStr">
        <is>
          <t>RISK-06</t>
        </is>
      </c>
      <c r="B26" s="7" t="inlineStr">
        <is>
          <t>Risk</t>
        </is>
      </c>
      <c r="C26" s="7" t="inlineStr">
        <is>
          <t>BE</t>
        </is>
      </c>
      <c r="D26" s="7" t="inlineStr">
        <is>
          <t>High</t>
        </is>
      </c>
      <c r="E26" s="7" t="inlineStr">
        <is>
          <t>P1</t>
        </is>
      </c>
      <c r="F26" s="7" t="inlineStr">
        <is>
          <t>OPEN</t>
        </is>
      </c>
      <c r="G26" s="7" t="inlineStr">
        <is>
          <t>BE tạo tài khoản admin/teacher bằng mật khẩu mặc định</t>
        </is>
      </c>
      <c r="H26" s="7" t="inlineStr">
        <is>
          <t>Khởi động hệ thống; đăng nhập bằng tài khoản mẫu trong README</t>
        </is>
      </c>
      <c r="I26" s="7" t="inlineStr">
        <is>
          <t>Không có credential mặc định dùng được hoặc bắt buộc đổi mật khẩu</t>
        </is>
      </c>
      <c r="J26" s="7" t="inlineStr">
        <is>
          <t>Retest 17/10/2026 (v2): admin/teacher/student seed đăng nhập được bằng mật khẩu mặc định</t>
        </is>
      </c>
      <c r="K26" s="7" t="inlineStr">
        <is>
          <t>Nguy cơ truy cập trái phép; chặn phát hành</t>
        </is>
      </c>
      <c r="L26" s="7" t="inlineStr">
        <is>
          <t>evidence/retest_v2_2026-10-17/TC_SEC_04_RISK-06_mat_khau_mac_dinh.jpg; Day29 SEC-15; evidence/security_retest_2026-10-15.md mục 5</t>
        </is>
      </c>
      <c r="M26" s="7" t="inlineStr">
        <is>
          <t>Bỏ default credential hoặc buộc đổi mật khẩu</t>
        </is>
      </c>
      <c r="N26" s="7" t="inlineStr">
        <is>
          <t>Regression auth PASS; tài khoản mặc định không dùng được</t>
        </is>
      </c>
      <c r="O26" s="7" t="inlineStr">
        <is>
          <t>Chưa xác nhận</t>
        </is>
      </c>
      <c r="P26" s="7" t="inlineStr">
        <is>
          <t>Chưa xác nhận</t>
        </is>
      </c>
      <c r="Q26" s="7" t="inlineStr">
        <is>
          <t>Retest 17/10 v2: FAIL (TC_SEC_04). Retest 16/10: FAIL (Đăng nhập 3 tài khoản mẫu trong initial-data.ts)</t>
        </is>
      </c>
    </row>
    <row r="27" ht="68.09999999999999" customHeight="1">
      <c r="A27" s="7" t="inlineStr">
        <is>
          <t>RISK-07</t>
        </is>
      </c>
      <c r="B27" s="7" t="inlineStr">
        <is>
          <t>Risk</t>
        </is>
      </c>
      <c r="C27" s="7" t="inlineStr">
        <is>
          <t>Data AI</t>
        </is>
      </c>
      <c r="D27" s="7" t="inlineStr">
        <is>
          <t>High</t>
        </is>
      </c>
      <c r="E27" s="7" t="inlineStr">
        <is>
          <t>P1</t>
        </is>
      </c>
      <c r="F27" s="7" t="inlineStr">
        <is>
          <t>OPEN</t>
        </is>
      </c>
      <c r="G27" s="7" t="inlineStr">
        <is>
          <t>Data service Task21 ghi cứng API key trong code</t>
        </is>
      </c>
      <c r="H27" s="7" t="inlineStr">
        <is>
          <t>Quét source và git history của Task21</t>
        </is>
      </c>
      <c r="I27" s="7" t="inlineStr">
        <is>
          <t>Key nằm trong secret store/env và không tồn tại trong history</t>
        </is>
      </c>
      <c r="J27" s="7" t="inlineStr">
        <is>
          <t>Retest 17/10/2026 (v2): Task21 config.py vẫn có API_KEYS_STORE 4 key</t>
        </is>
      </c>
      <c r="K27" s="7" t="inlineStr">
        <is>
          <t>Nguy cơ lộ khóa; chặn phát hành</t>
        </is>
      </c>
      <c r="L27" s="7" t="inlineStr">
        <is>
          <t>Day29 SEC-15; evidence/secret_scan_2026-10-15.md mục 5</t>
        </is>
      </c>
      <c r="M27" s="7" t="inlineStr">
        <is>
          <t>Xóa và rotate key; dùng secret store/env; làm sạch history theo quy trình</t>
        </is>
      </c>
      <c r="N27" s="7" t="inlineStr">
        <is>
          <t>Scan source/history sạch; key cũ đã rotate</t>
        </is>
      </c>
      <c r="O27" s="7" t="inlineStr">
        <is>
          <t>Chưa xác nhận</t>
        </is>
      </c>
      <c r="P27" s="7" t="inlineStr">
        <is>
          <t>Chưa xác nhận</t>
        </is>
      </c>
      <c r="Q27" s="7" t="inlineStr">
        <is>
          <t>Retest 17/10 v2: FAIL. Retest 16/10: FAIL (Đọc Data-AI-Resource/BaoCao_Task21/src/config.py)</t>
        </is>
      </c>
    </row>
    <row r="28" ht="68.09999999999999" customHeight="1">
      <c r="A28" s="7" t="inlineStr">
        <is>
          <t>RISK-08</t>
        </is>
      </c>
      <c r="B28" s="7" t="inlineStr">
        <is>
          <t>Risk</t>
        </is>
      </c>
      <c r="C28" s="7" t="inlineStr">
        <is>
          <t>BE</t>
        </is>
      </c>
      <c r="D28" s="7" t="inlineStr">
        <is>
          <t>High</t>
        </is>
      </c>
      <c r="E28" s="7" t="inlineStr">
        <is>
          <t>P1</t>
        </is>
      </c>
      <c r="F28" s="7" t="inlineStr">
        <is>
          <t>OPEN</t>
        </is>
      </c>
      <c r="G28" s="7" t="inlineStr">
        <is>
          <t>CORS chấp nhận mọi origin</t>
        </is>
      </c>
      <c r="H28" s="7" t="inlineStr">
        <is>
          <t>Gửi request với Origin không được phép</t>
        </is>
      </c>
      <c r="I28" s="7" t="inlineStr">
        <is>
          <t>Chỉ origin trong allowlist được chấp nhận</t>
        </is>
      </c>
      <c r="J28" s="7" t="inlineStr">
        <is>
          <t>Retest 17/10/2026 (v2): main.ts v2: enableCors origin:true, credentials:true</t>
        </is>
      </c>
      <c r="K28" s="7" t="inlineStr">
        <is>
          <t>Nguy cơ truy cập từ website không tin cậy; chặn phát hành</t>
        </is>
      </c>
      <c r="L28" s="7" t="inlineStr">
        <is>
          <t>Day29 SEC-14; evidence/security_retest_2026-10-15.md mục 4</t>
        </is>
      </c>
      <c r="M28" s="7" t="inlineStr">
        <is>
          <t>Cấu hình allowlist theo môi trường</t>
        </is>
      </c>
      <c r="N28" s="7" t="inlineStr">
        <is>
          <t>CORS regression chặn origin lạ và cho phép origin hợp lệ</t>
        </is>
      </c>
      <c r="O28" s="7" t="inlineStr">
        <is>
          <t>Chưa xác nhận</t>
        </is>
      </c>
      <c r="P28" s="7" t="inlineStr">
        <is>
          <t>Chưa xác nhận</t>
        </is>
      </c>
      <c r="Q28" s="7" t="inlineStr">
        <is>
          <t>Retest 17/10 v2: FAIL (TC_SEC_08). Retest 16/10: FAIL (Đọc BE main.ts)</t>
        </is>
      </c>
    </row>
    <row r="29" ht="68.09999999999999" customHeight="1">
      <c r="A29" s="7" t="inlineStr">
        <is>
          <t>RISK-01</t>
        </is>
      </c>
      <c r="B29" s="7" t="inlineStr">
        <is>
          <t>Risk</t>
        </is>
      </c>
      <c r="C29" s="7" t="inlineStr">
        <is>
          <t>BE</t>
        </is>
      </c>
      <c r="D29" s="7" t="inlineStr">
        <is>
          <t>Medium</t>
        </is>
      </c>
      <c r="E29" s="7" t="inlineStr">
        <is>
          <t>P2</t>
        </is>
      </c>
      <c r="F29" s="7" t="inlineStr">
        <is>
          <t>OPEN</t>
        </is>
      </c>
      <c r="G29" s="7" t="inlineStr">
        <is>
          <t>API lessons/exercises có thể truy cập ẩn danh</t>
        </is>
      </c>
      <c r="H29" s="7" t="inlineStr">
        <is>
          <t>Gọi API khi không có token</t>
        </is>
      </c>
      <c r="I29" s="7" t="inlineStr">
        <is>
          <t>Hành vi đúng theo contract public/private đã duyệt</t>
        </is>
      </c>
      <c r="J29" s="7" t="inlineStr">
        <is>
          <t>Retest 17/10/2026 (v2): GET /api/exercises và /api/authoring/lessons không token: 200</t>
        </is>
      </c>
      <c r="K29" s="7" t="inlineStr">
        <is>
          <t>Cần xác nhận yêu cầu bảo mật</t>
        </is>
      </c>
      <c r="L29" s="7" t="inlineStr">
        <is>
          <t>evidence/retest_v2_2026-10-17/TC_SEC_05_RISK-01_03_anon_headers.jpg; Day29 SEC-03, SEC-04, SEC-24 (FAIL)</t>
        </is>
      </c>
      <c r="M29" s="7" t="inlineStr">
        <is>
          <t>Xác nhận contract rồi thêm auth nếu cần</t>
        </is>
      </c>
      <c r="N29" s="7" t="inlineStr">
        <is>
          <t>Contract được duyệt và regression PASS</t>
        </is>
      </c>
      <c r="O29" s="7" t="inlineStr">
        <is>
          <t>Chưa xác nhận</t>
        </is>
      </c>
      <c r="P29" s="7" t="inlineStr">
        <is>
          <t>Chưa xác nhận</t>
        </is>
      </c>
      <c r="Q29" s="7" t="inlineStr">
        <is>
          <t>Retest 17/10 v2: FAIL (TC_SEC_05). Retest 16/10: FAIL (GET /api/authoring/lessons và /api/exercises không token)</t>
        </is>
      </c>
    </row>
    <row r="30" ht="68.09999999999999" customHeight="1">
      <c r="A30" s="7" t="inlineStr">
        <is>
          <t>RISK-02</t>
        </is>
      </c>
      <c r="B30" s="7" t="inlineStr">
        <is>
          <t>Risk</t>
        </is>
      </c>
      <c r="C30" s="7" t="inlineStr">
        <is>
          <t>BE</t>
        </is>
      </c>
      <c r="D30" s="7" t="inlineStr">
        <is>
          <t>Medium</t>
        </is>
      </c>
      <c r="E30" s="7" t="inlineStr">
        <is>
          <t>P2</t>
        </is>
      </c>
      <c r="F30" s="7" t="inlineStr">
        <is>
          <t>OPEN</t>
        </is>
      </c>
      <c r="G30" s="7" t="inlineStr">
        <is>
          <t>API chưa chặn nội dung theo nhóm tuổi (giao diện đã chặn)</t>
        </is>
      </c>
      <c r="H30" s="7" t="inlineStr">
        <is>
          <t>Đăng nhập lop3-5; gọi POST /api/quiz/start {category:"Python"}</t>
        </is>
      </c>
      <c r="I30" s="7" t="inlineStr">
        <is>
          <t>403 với nội dung không thuộc nhóm tuổi</t>
        </is>
      </c>
      <c r="J30" s="7" t="inlineStr">
        <is>
          <t>Retest 17/10/2026 (v2): Giao diện Kids chặn đúng route và học sinh không xem được lớp khác; nhưng API POST /quiz/start vẫn trả 201 cho lop3-5, GET /contests trả 200</t>
        </is>
      </c>
      <c r="K30" s="7" t="inlineStr">
        <is>
          <t>Rủi ro child-safety/content policy</t>
        </is>
      </c>
      <c r="L30" s="7" t="inlineStr">
        <is>
          <t>evidence/retest_v2_2026-10-17/TC_K35_03_kid_goi_API_quiz_201.jpg; Day29 SEC-10, SEC-25 (FAIL)</t>
        </is>
      </c>
      <c r="M30" s="7" t="inlineStr">
        <is>
          <t>Kiểm ageGroup ở guard/service của quiz và contest, không chỉ ở route FE</t>
        </is>
      </c>
      <c r="N30" s="7" t="inlineStr">
        <is>
          <t>lop3-5 gọi quiz/contest khối khác bị 403; regression PASS</t>
        </is>
      </c>
      <c r="O30" s="7" t="inlineStr">
        <is>
          <t>Chưa xác nhận</t>
        </is>
      </c>
      <c r="P30" s="7" t="inlineStr">
        <is>
          <t>Chưa xác nhận</t>
        </is>
      </c>
      <c r="Q30" s="7" t="inlineStr">
        <is>
          <t>Retest 17/10 v2: FAIL (TC_K35_02 PASS, TC_K35_03 FAIL). Retest 16/10: FAIL (Đọc exercise.service.ts; /api/exercises trả 47 bài)</t>
        </is>
      </c>
    </row>
    <row r="31" ht="68.09999999999999" customHeight="1">
      <c r="A31" s="7" t="inlineStr">
        <is>
          <t>RISK-09</t>
        </is>
      </c>
      <c r="B31" s="7" t="inlineStr">
        <is>
          <t>Risk</t>
        </is>
      </c>
      <c r="C31" s="7" t="inlineStr">
        <is>
          <t>QA</t>
        </is>
      </c>
      <c r="D31" s="7" t="inlineStr">
        <is>
          <t>Medium</t>
        </is>
      </c>
      <c r="E31" s="7" t="inlineStr">
        <is>
          <t>P2</t>
        </is>
      </c>
      <c r="F31" s="7" t="inlineStr">
        <is>
          <t>OPEN</t>
        </is>
      </c>
      <c r="G31" s="7" t="inlineStr">
        <is>
          <t>DB local v2 chưa seed bài tập</t>
        </is>
      </c>
      <c r="H31" s="7" t="inlineStr">
        <is>
          <t>GET /api/exercises; mở Playground lớp 6-9</t>
        </is>
      </c>
      <c r="I31" s="7" t="inlineStr">
        <is>
          <t>Đủ bài tập và test case theo seed</t>
        </is>
      </c>
      <c r="J31" s="7" t="inlineStr">
        <is>
          <t>Retest 17/10/2026 (v2): chỉ 2 bài, cả 2 có 0 test case; Playground 6-9 trống; Ngân hàng đề 1 bài</t>
        </is>
      </c>
      <c r="K31" s="7" t="inlineStr">
        <is>
          <t>Không chạy lại được các lỗi chấm bài và luồng luyện tập</t>
        </is>
      </c>
      <c r="L31" s="7" t="inlineStr">
        <is>
          <t>evidence/retest_v2_2026-10-17/TC_K69_02_playground_6-9_trong.jpg</t>
        </is>
      </c>
      <c r="M31" s="7" t="inlineStr">
        <is>
          <t>Chạy seed (npm run seed / seed:exercises) rồi retest DEF-018, 020, 021, 022, 035</t>
        </is>
      </c>
      <c r="N31" s="7" t="inlineStr">
        <is>
          <t>Playground mỗi khối có bài; retest các lỗi chấm bài</t>
        </is>
      </c>
      <c r="O31" s="7" t="inlineStr">
        <is>
          <t>Chưa xác nhận</t>
        </is>
      </c>
      <c r="P31" s="7" t="inlineStr">
        <is>
          <t>Chưa xác nhận</t>
        </is>
      </c>
      <c r="Q31" s="7" t="inlineStr">
        <is>
          <t>TC_K69_02 BLOCKED</t>
        </is>
      </c>
    </row>
    <row r="32" ht="25.5" customHeight="1">
      <c r="A32" s="7" t="inlineStr">
        <is>
          <t>RISK-10</t>
        </is>
      </c>
      <c r="B32" s="7" t="inlineStr">
        <is>
          <t>Risk</t>
        </is>
      </c>
      <c r="C32" s="7" t="inlineStr">
        <is>
          <t>Needs investigation</t>
        </is>
      </c>
      <c r="D32" s="7" t="inlineStr">
        <is>
          <t>Medium</t>
        </is>
      </c>
      <c r="E32" s="7" t="inlineStr">
        <is>
          <t>P2</t>
        </is>
      </c>
      <c r="F32" s="7" t="inlineStr">
        <is>
          <t>OPEN</t>
        </is>
      </c>
      <c r="G32" s="7" t="inlineStr">
        <is>
          <t>Lớp K3-5, K6-9 chưa có giáo viên phụ trách; nhóm tuổi hồ sơ giáo viên lệch</t>
        </is>
      </c>
      <c r="H32" s="7" t="inlineStr">
        <is>
          <t>Đăng nhập teacher3-5 / teacher6-9; xem admin/classes</t>
        </is>
      </c>
      <c r="I32" s="7" t="inlineStr">
        <is>
          <t>Mỗi lớp có giáo viên đúng khối</t>
        </is>
      </c>
      <c r="J32" s="7" t="inlineStr">
        <is>
          <t>Retest 17/10/2026 (v2): teacher3-5 "chưa được phân công lớp"; teacher6-9 0 lớp; ageGroup teacher6-9 và teacher10-12 = CAREER_ADULT, trainganhtudo = 3-5</t>
        </is>
      </c>
      <c r="K32" s="7" t="inlineStr">
        <is>
          <t>Giáo viên khối 3-5, 6-9 không quản lý được học sinh</t>
        </is>
      </c>
      <c r="L32" s="7" t="inlineStr">
        <is>
          <t>evidence/retest_v2_2026-10-17/TC_GV_01_teacher3-5_chua_phan_lop.jpg</t>
        </is>
      </c>
      <c r="M32" s="7" t="inlineStr">
        <is>
          <t>Admin gán giáo viên cho lớp; xác nhận ý nghĩa ageGroup của giáo viên</t>
        </is>
      </c>
      <c r="N32" s="7" t="inlineStr">
        <is>
          <t>Giáo viên mỗi khối thấy đúng lớp mình</t>
        </is>
      </c>
      <c r="O32" s="7" t="inlineStr">
        <is>
          <t>Chưa xác nhận</t>
        </is>
      </c>
      <c r="P32" s="7" t="inlineStr">
        <is>
          <t>Chưa xác nhận</t>
        </is>
      </c>
      <c r="Q32" s="7" t="inlineStr">
        <is>
          <t>TC_GV_01, TC_GV_02, TC_GV_08</t>
        </is>
      </c>
    </row>
    <row r="33" ht="38.25" customHeight="1">
      <c r="A33" s="7" t="inlineStr">
        <is>
          <t>RISK-03</t>
        </is>
      </c>
      <c r="B33" s="7" t="inlineStr">
        <is>
          <t>Risk</t>
        </is>
      </c>
      <c r="C33" s="7" t="inlineStr">
        <is>
          <t>BE</t>
        </is>
      </c>
      <c r="D33" s="7" t="inlineStr">
        <is>
          <t>Low</t>
        </is>
      </c>
      <c r="E33" s="7" t="inlineStr">
        <is>
          <t>P3</t>
        </is>
      </c>
      <c r="F33" s="7" t="inlineStr">
        <is>
          <t>OPEN</t>
        </is>
      </c>
      <c r="G33" s="7" t="inlineStr">
        <is>
          <t>Thiếu security headers</t>
        </is>
      </c>
      <c r="H33" s="7" t="inlineStr">
        <is>
          <t>Kiểm response headers</t>
        </is>
      </c>
      <c r="I33" s="7" t="inlineStr">
        <is>
          <t>Có bộ header theo policy</t>
        </is>
      </c>
      <c r="J33" s="7" t="inlineStr">
        <is>
          <t>Retest 17/10/2026 (v2): /api/health không có X-Content-Type-Options, X-Frame-Options, CSP</t>
        </is>
      </c>
      <c r="K33" s="7" t="inlineStr">
        <is>
          <t>Tăng bề mặt tấn công trình duyệt</t>
        </is>
      </c>
      <c r="L33" s="7" t="inlineStr">
        <is>
          <t>evidence/retest_v2_2026-10-17/TC_SEC_05_RISK-01_03_anon_headers.jpg; Day29 SEC-13 (FAIL)</t>
        </is>
      </c>
      <c r="M33" s="7" t="inlineStr">
        <is>
          <t>Bổ sung middleware/header cấu hình</t>
        </is>
      </c>
      <c r="N33" s="7" t="inlineStr">
        <is>
          <t>Header regression PASS hoặc risk acceptance</t>
        </is>
      </c>
      <c r="O33" s="7" t="inlineStr">
        <is>
          <t>Chưa xác nhận</t>
        </is>
      </c>
      <c r="P33" s="7" t="inlineStr">
        <is>
          <t>Chưa xác nhận</t>
        </is>
      </c>
      <c r="Q33" s="7" t="inlineStr">
        <is>
          <t>Retest 17/10 v2: FAIL (TC_SEC_05). Retest 16/10: FAIL (Đọc header /api/health; tìm helmet)</t>
        </is>
      </c>
    </row>
    <row r="34" ht="38.25" customHeight="1">
      <c r="A34" s="7" t="inlineStr">
        <is>
          <t>RISK-04</t>
        </is>
      </c>
      <c r="B34" s="7" t="inlineStr">
        <is>
          <t>Risk</t>
        </is>
      </c>
      <c r="C34" s="7" t="inlineStr">
        <is>
          <t>FE</t>
        </is>
      </c>
      <c r="D34" s="7" t="inlineStr">
        <is>
          <t>Low</t>
        </is>
      </c>
      <c r="E34" s="7" t="inlineStr">
        <is>
          <t>P3</t>
        </is>
      </c>
      <c r="F34" s="7" t="inlineStr">
        <is>
          <t>PENDING APPROVAL</t>
        </is>
      </c>
      <c r="G34" s="7" t="inlineStr">
        <is>
          <t>JWT lưu trong localStorage</t>
        </is>
      </c>
      <c r="H34" s="7" t="inlineStr">
        <is>
          <t>Đăng nhập; kiểm localStorage</t>
        </is>
      </c>
      <c r="I34" s="7" t="inlineStr">
        <is>
          <t>Cách lưu token được threat review và phê duyệt</t>
        </is>
      </c>
      <c r="J34" s="7" t="inlineStr">
        <is>
          <t>Retest 17/10/2026 (v2): v2 đã có cookie httpOnly + CSRF nhưng FE vẫn lưu JWT trong localStorage("token")</t>
        </is>
      </c>
      <c r="K34" s="7" t="inlineStr">
        <is>
          <t>Rủi ro khi có XSS</t>
        </is>
      </c>
      <c r="L34" s="7" t="inlineStr">
        <is>
          <t>evidence/retest_v2_2026-10-17/TC_SEC_06_RISK-04_token_localStorage.jpg; Day29 SEC-18 (FAIL)</t>
        </is>
      </c>
      <c r="M34" s="7" t="inlineStr">
        <is>
          <t>Thực hiện threat review; cân nhắc cookie HttpOnly</t>
        </is>
      </c>
      <c r="N34" s="7" t="inlineStr">
        <is>
          <t>Quyết định được phê duyệt và test tương ứng PASS</t>
        </is>
      </c>
      <c r="O34" s="7" t="inlineStr">
        <is>
          <t>Chưa xác nhận</t>
        </is>
      </c>
      <c r="P34" s="7" t="inlineStr">
        <is>
          <t>Chưa xác nhận</t>
        </is>
      </c>
      <c r="Q34" s="7" t="inlineStr">
        <is>
          <t>Retest 17/10 v2: FAIL (TC_SEC_06). Retest 16/10: FAIL (Đọc FE App.tsx). Trước đó: Day29 Risk Log đề xuất ACCEPT; cần người có thẩm quyền phê duyệt</t>
        </is>
      </c>
    </row>
    <row r="35" ht="38.25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63.75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</sheetData>
  <mergeCells count="2">
    <mergeCell ref="A3:Q3"/>
    <mergeCell ref="A2:Q2"/>
  </mergeCells>
  <conditionalFormatting sqref="D6:D197">
    <cfRule type="expression" priority="1" dxfId="21">
      <formula>D6="High"</formula>
    </cfRule>
  </conditionalFormatting>
  <conditionalFormatting sqref="F6:F197">
    <cfRule type="expression" priority="2" dxfId="20">
      <formula>F6="OPEN"</formula>
    </cfRule>
    <cfRule type="expression" priority="3" dxfId="19">
      <formula>F6="RESOLVED"</formula>
    </cfRule>
    <cfRule type="expression" priority="4" dxfId="18">
      <formula>F6="PENDING APPROVAL"</formula>
    </cfRule>
  </conditionalFormatting>
  <dataValidations count="4">
    <dataValidation sqref="C6:C197" showDropDown="0" showInputMessage="0" showErrorMessage="0" allowBlank="0" type="list">
      <formula1>"FE,BE,Data AI,QA,Needs investigation"</formula1>
    </dataValidation>
    <dataValidation sqref="D6:D197" showDropDown="0" showInputMessage="0" showErrorMessage="0" allowBlank="0" type="list">
      <formula1>"High,Medium,Low,-"</formula1>
    </dataValidation>
    <dataValidation sqref="E6:E197" showDropDown="0" showInputMessage="0" showErrorMessage="0" allowBlank="0" type="list">
      <formula1>"P1,P2,P3,-"</formula1>
    </dataValidation>
    <dataValidation sqref="F6:F197" showDropDown="0" showInputMessage="0" showErrorMessage="0" allowBlank="0" type="list">
      <formula1>"OPEN,FIXED,RESOLVED,PENDING APPROVAL,CLOSED"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2026-10-22T01:48:27Z</dcterms:created>
  <dcterms:modified xmlns:dcterms="http://purl.org/dc/terms/" xmlns:xsi="http://www.w3.org/2001/XMLSchema-instance" xsi:type="dcterms:W3CDTF">2026-10-22T01:48:27Z</dcterms:modified>
  <cp:lastModifiedBy>USER</cp:lastModifiedBy>
</cp:coreProperties>
</file>