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lone\cybersoft-learning-hub\Test\Day29_Security_Privacy_Final_Pass_Tran_Quoc_Nguyen\"/>
    </mc:Choice>
  </mc:AlternateContent>
  <xr:revisionPtr revIDLastSave="0" documentId="13_ncr:1_{16F080F4-1ECA-4F04-8E82-D5C84B54570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ong quan" sheetId="1" r:id="rId1"/>
    <sheet name="Ket qua test" sheetId="2" r:id="rId2"/>
    <sheet name="Privacy Checklist" sheetId="3" r:id="rId3"/>
    <sheet name="Risk Log" sheetId="4" r:id="rId4"/>
    <sheet name="Threat 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<sst xmlns="http://schemas.openxmlformats.org/spreadsheetml/2006/main" count="633" uniqueCount="359">
  <si>
    <t>Ngày 29 Security và Privacy Final Pass</t>
  </si>
  <si>
    <t>Người thực hiện</t>
  </si>
  <si>
    <t>Trần Quốc Nguyên</t>
  </si>
  <si>
    <t>Vai trò</t>
  </si>
  <si>
    <t>QA Tester</t>
  </si>
  <si>
    <t>Dự án</t>
  </si>
  <si>
    <t>CyberSoft Learning Hub</t>
  </si>
  <si>
    <t>Ngày kiểm tra</t>
  </si>
  <si>
    <t>12/10/2026 (lần đầu), 14/10/2026 (chạy lại); 15/10/2026 (chạy lại 6 case)</t>
  </si>
  <si>
    <t>Commit hoặc phiên bản</t>
  </si>
  <si>
    <t>Repo clone D:\thuctap\clone\cybersoft-learning-hub, HEAD d804c49 (15/10)</t>
  </si>
  <si>
    <t>Môi trường</t>
  </si>
  <si>
    <t>Local: FE localhost:5173, BE localhost:3000, tài khoản STUDENT nhóm tuổi 3-5 (đang đăng nhập sẵn)</t>
  </si>
  <si>
    <t>Kết luận cuối</t>
  </si>
  <si>
    <t>HOLD</t>
  </si>
  <si>
    <t>Chỉ số</t>
  </si>
  <si>
    <t>Kết quả</t>
  </si>
  <si>
    <t>Tổng test đã nhập</t>
  </si>
  <si>
    <t>Đã phân loại trạng thái (gồm cả NOT RUN)</t>
  </si>
  <si>
    <t>PASS</t>
  </si>
  <si>
    <t>FAIL</t>
  </si>
  <si>
    <t>BLOCKED</t>
  </si>
  <si>
    <t>NOT RUN</t>
  </si>
  <si>
    <t>Critical hoặc High đang mở</t>
  </si>
  <si>
    <t>Risk chưa có quyết định</t>
  </si>
  <si>
    <t>Checklist privacy đã thực hiện</t>
  </si>
  <si>
    <t>Cách sử dụng: nhập nội dung kiểm tra và kết quả thực tế vào các ô màu vàng. Không đánh PASS khi chưa có bằng chứng. High risk chỉ được đóng khi đã sửa hoặc có phê duyệt rõ ràng.</t>
  </si>
  <si>
    <t>Nhật ký kết quả kiểm tra bảo mật và quyền riêng tư</t>
  </si>
  <si>
    <t>Test ID</t>
  </si>
  <si>
    <t>Nhóm kiểm tra</t>
  </si>
  <si>
    <t>Loại test</t>
  </si>
  <si>
    <t>Nội dung kiểm tra</t>
  </si>
  <si>
    <t>Kết quả mong đợi</t>
  </si>
  <si>
    <t>Kết quả thực tế</t>
  </si>
  <si>
    <t>Trạng thái</t>
  </si>
  <si>
    <t>Mức độ nếu lỗi</t>
  </si>
  <si>
    <t>Bằng chứng</t>
  </si>
  <si>
    <t>Defect hoặc Risk ID</t>
  </si>
  <si>
    <t>Owner</t>
  </si>
  <si>
    <t>Ngày chạy</t>
  </si>
  <si>
    <t>Ghi chú</t>
  </si>
  <si>
    <t>SEC-01</t>
  </si>
  <si>
    <t>Access</t>
  </si>
  <si>
    <t>Manual</t>
  </si>
  <si>
    <t>GET /api/auth/me khi không gửi token</t>
  </si>
  <si>
    <t>401 Unauthorized</t>
  </si>
  <si>
    <t>401 (body 43 ký tự, không có stack trace)</t>
  </si>
  <si>
    <t>N/A</t>
  </si>
  <si>
    <t>Console Chrome (fetch) trên localhost:3000, 12/10/2026</t>
  </si>
  <si>
    <t>14/10/2026 (chạy lại; lần đầu 12/10)</t>
  </si>
  <si>
    <t>SEC-02</t>
  </si>
  <si>
    <t>GET /api/auth/me với token giả (abc.def.ghi)</t>
  </si>
  <si>
    <t>401</t>
  </si>
  <si>
    <t>SEC-03</t>
  </si>
  <si>
    <t>GET /api/authoring/lessons khi KHÔNG có token</t>
  </si>
  <si>
    <t>401 hoặc chỉ trả bài đã published, không có dữ liệu tác giả</t>
  </si>
  <si>
    <t>200 khi không có token: 62 bài, 25 bài có authorId, 2 bài không có status (các bài còn lại published). Có content, starterCode, testCases hiển thị</t>
  </si>
  <si>
    <t>Medium</t>
  </si>
  <si>
    <t>RISK-01</t>
  </si>
  <si>
    <t>Số liệu 12/10 là 64 bài; hôm 14/10 là 62 (dữ liệu đã thay đổi). Lần trước tôi ghi nhầm "authorId cho 64 bài": thực tế 25/62. Nâng High nếu 2 bài không có status là bản nháp.</t>
  </si>
  <si>
    <t>SEC-04</t>
  </si>
  <si>
    <t>GET /api/exercises khi KHÔNG có token</t>
  </si>
  <si>
    <t>401, hoặc có quyết định rõ đây là API công khai</t>
  </si>
  <si>
    <t>200 khi không có token: 45 bài</t>
  </si>
  <si>
    <t>12/10 là 47 bài, 14/10 là 45 bài. Cần chốt catalog có công khai theo thiết kế không.</t>
  </si>
  <si>
    <t>SEC-05</t>
  </si>
  <si>
    <t>Test ẩn (isHidden) không lộ qua API học viên/ẩn danh</t>
  </si>
  <si>
    <t>Test ẩn không có input/expectedOutput</t>
  </si>
  <si>
    <t>115 test ẩn trong danh sách bài học, 0 test lộ trường nào ngoài isHidden. Chi tiết bài trả hiddenTestCount, chỉ test hiển thị có input/expectedOutput</t>
  </si>
  <si>
    <t>12/10 đếm được 118, 14/10 là 115 (dữ liệu đổi). Kết luận không đổi.</t>
  </si>
  <si>
    <t>SEC-06</t>
  </si>
  <si>
    <t>Danh sách /api/exercises không chứa đáp án</t>
  </si>
  <si>
    <t>Không có trường solution/hiddenTests</t>
  </si>
  <si>
    <t>Danh sách (45 bài) và chi tiết GET /api/exercises/{slug} đều không có trường solution</t>
  </si>
  <si>
    <t>Đường dẫn chi tiết đúng là theo slug, không phải _id (12/10 tôi thử _id nên ra 404).</t>
  </si>
  <si>
    <t>SEC-07</t>
  </si>
  <si>
    <t>Học sinh và ẩn danh gọi DELETE /api/authoring/lessons/{id giả}</t>
  </si>
  <si>
    <t>Ẩn danh 401, học sinh 403</t>
  </si>
  <si>
    <t>Dùng ID giả 000...0 nên không xóa dữ liệu thật.</t>
  </si>
  <si>
    <t>SEC-08</t>
  </si>
  <si>
    <t>Học sinh gọi PUT /api/authoring/lessons/{id giả}</t>
  </si>
  <si>
    <t>403</t>
  </si>
  <si>
    <t>PATCH và POST trên đường dẫn này trả 404 (không tồn tại), nên chưa đánh giá.</t>
  </si>
  <si>
    <t>SEC-09</t>
  </si>
  <si>
    <t>Học sinh gọi các API giáo viên (review-queue, lab-submissions, integrity, dashboard, qa, usability, users)</t>
  </si>
  <si>
    <t>22/22 API giáo viên/admin (lấy từ controller có @Roles TEACHER/ADMIN) trả 403 với token học sinh, gồm 18 GET và 4 PUT</t>
  </si>
  <si>
    <t>Test/Day30_Final_QA_Handover_Tran_Quoc_Nguyen/evidence/security_retest_2026-10-15.md mục 1</t>
  </si>
  <si>
    <t>Claude theo yêu cầu Trần Quốc Nguyên</t>
  </si>
  <si>
    <t>15/10/2026</t>
  </si>
  <si>
    <t>Chạy lại 15/10 với đường dẫn thật thay cho đường dẫn đoán.</t>
  </si>
  <si>
    <t>SEC-10</t>
  </si>
  <si>
    <t>Học sinh nhóm 3-5 chỉ thấy nội dung đúng nhóm tuổi</t>
  </si>
  <si>
    <t>Chỉ nhận bài nhóm 3-5 (và bài chưa phân lớp nếu được phép)</t>
  </si>
  <si>
    <t>/api/exercises trả đủ 45 bài cho học sinh nhóm 3-5: 10 chưa có gradeBand, 20 gradeBand 6-9, 15 gradeBand 9-12. Gọi GET /api/exercises/{slug} của bài 6-9 và 9-12 đều 200. /playground hiện cả khối "Lớp 6-9" (20) và "Lớp 10-12" (15). Không có bài nhóm 3-5</t>
  </si>
  <si>
    <t>Console Chrome (fetch) trên localhost:3000, 12/10/2026; ảnh /playground</t>
  </si>
  <si>
    <t>RISK-02</t>
  </si>
  <si>
    <t>Trường lọc là gradeBand (xác nhận 14/10). 12/10 có 12 bài chưa phân lớp, nay 10. Nhãn dữ liệu "9-12" lệch với "Lớp 10-12" ở giao diện. Hôm 14/10 tài khoản đăng nhập là tài khoản khác (avatar "A"), vẫn nhóm 3-5.</t>
  </si>
  <si>
    <t>SEC-11</t>
  </si>
  <si>
    <t>Security Regression</t>
  </si>
  <si>
    <t>Brute force đăng nhập: gửi liên tiếp nhiều lần sai với email không tồn tại (dữ liệu test)</t>
  </si>
  <si>
    <t>Bị rate limit (429)</t>
  </si>
  <si>
    <t>8 lần liên tiếp đều 429; token đang dùng vẫn gọi /api/auth/me được (200)</t>
  </si>
  <si>
    <t>Không dùng tài khoản thật nên không khóa ai.</t>
  </si>
  <si>
    <t>SEC-12</t>
  </si>
  <si>
    <t>Logs</t>
  </si>
  <si>
    <t>Lỗi 401/404 không lộ stack trace hay đường dẫn nội bộ</t>
  </si>
  <si>
    <t>Thông báo chung, không stack trace</t>
  </si>
  <si>
    <t>Lỗi 401/404 và JSON sai định dạng (400) không chứa stack trace hay đường dẫn máy chủ; 400 chỉ nêu "Expected property name... at position 1"</t>
  </si>
  <si>
    <t>Chưa kiểm được lỗi 500.</t>
  </si>
  <si>
    <t>SEC-13</t>
  </si>
  <si>
    <t>Security headers trên API</t>
  </si>
  <si>
    <t>X-Content-Type-Options, X-Frame-Options, CSP có mặt; không lộ X-Powered-By</t>
  </si>
  <si>
    <t>Phản hồi không có X-Content-Type-Options, X-Frame-Options, CSP. Không lộ X-Powered-By và Server. HSTS không áp dụng vì chạy http local</t>
  </si>
  <si>
    <t>Low</t>
  </si>
  <si>
    <t>RISK-03</t>
  </si>
  <si>
    <t>Thiếu helmet hoặc tương đương. Có thể xếp mức chấp nhận cho môi trường demo local.</t>
  </si>
  <si>
    <t>SEC-14</t>
  </si>
  <si>
    <t>CORS từ origin lạ gửi tới /api/auth/login</t>
  </si>
  <si>
    <t>Không trả Access-Control-Allow-Origin cho origin lạ</t>
  </si>
  <si>
    <t>Từ origin http://127.0.0.1:3000 gọi http://localhost:3000/api/health có credentials: đọc được phản hồi. main.ts: enableCors({origin:true, credentials:true})</t>
  </si>
  <si>
    <t>Test/Day30_Final_QA_Handover_Tran_Quoc_Nguyen/evidence/security_retest_2026-10-15.md mục 4</t>
  </si>
  <si>
    <t>RISK-08</t>
  </si>
  <si>
    <t>BE phản hồi lại mọi origin.</t>
  </si>
  <si>
    <t>SEC-15</t>
  </si>
  <si>
    <t>Secrets</t>
  </si>
  <si>
    <t>Automated</t>
  </si>
  <si>
    <t>Quét secret trong source (key, token, mật khẩu, connection string)</t>
  </si>
  <si>
    <t>Không có secret trong repo</t>
  </si>
  <si>
    <t>Không thấy khóa thật của Google/OpenAI/Anthropic/GitHub/AWS; Data-AI-Resource/BaoCao_Task21/src/config.py có API key cứng (có key role admin); initial-data.ts có mật khẩu tài khoản mẫu</t>
  </si>
  <si>
    <t>High</t>
  </si>
  <si>
    <t>Test/Day30_Final_QA_Handover_Tran_Quoc_Nguyen/evidence/secret_scan_2026-10-15.md mục 3, 5</t>
  </si>
  <si>
    <t>RISK-05, RISK-06, RISK-07</t>
  </si>
  <si>
    <t>Chưa quét log runtime, chưa chạy gitleaks.</t>
  </si>
  <si>
    <t>SEC-16</t>
  </si>
  <si>
    <t>Quét secret trong lịch sử git</t>
  </si>
  <si>
    <t>Không có secret trong lịch sử commit</t>
  </si>
  <si>
    <t>Quét 389 commit (--all): không có file .env/khóa từng commit, không có khóa nhà cung cấp (Google/OpenAI/Anthropic/GitHub/AWS) thật. Nhưng API key cứng của Data service Task21 (src/config.py, có key admin) nằm trong lịch sử commit</t>
  </si>
  <si>
    <t>Test/Day30_Final_QA_Handover_Tran_Quoc_Nguyen/evidence/secret_scan_2026-10-15.md mục 2, 4</t>
  </si>
  <si>
    <t>RISK-05, RISK-07</t>
  </si>
  <si>
    <t>Expected là "không có secret trong lịch sử"; key Task21 là secret thật nên đánh FAIL.</t>
  </si>
  <si>
    <t>SEC-17</t>
  </si>
  <si>
    <t>Review</t>
  </si>
  <si>
    <t>.env của BE và learning-hub nằm trong .gitignore và không được git theo dõi</t>
  </si>
  <si>
    <t>git ls-files không liệt kê .env</t>
  </si>
  <si>
    <t>git ls-files không liệt kê file .env nào (đầu ra bước 1 trống)</t>
  </si>
  <si>
    <t>Ảnh chụp PowerShell của tester, 14/10/2026 (bước 1 của script)</t>
  </si>
  <si>
    <t>RISK-05</t>
  </si>
  <si>
    <t>14/10/2026</t>
  </si>
  <si>
    <t>Chỉ chứng minh .env không được git theo dõi. Chưa kiểm secret nằm trong file khác (xem SEC-15). Lệnh bước 2 lần đầu bị lỗi cú pháp, đã sửa script.</t>
  </si>
  <si>
    <t>SEC-18</t>
  </si>
  <si>
    <t>Nơi lưu token đăng nhập ở FE</t>
  </si>
  <si>
    <t>Cookie HttpOnly hoặc có lý do chấp nhận rủi ro</t>
  </si>
  <si>
    <t>Token JWT lưu trong localStorage (khóa "token"); không có cookie nào được đặt (document.cookie trống)</t>
  </si>
  <si>
    <t>Console Chrome 14/10/2026</t>
  </si>
  <si>
    <t>RISK-04</t>
  </si>
  <si>
    <t>12/10/2026</t>
  </si>
  <si>
    <t>Rủi ro nếu có XSS. Thường chấp nhận cho MVP nếu có ghi nhận.</t>
  </si>
  <si>
    <t>SEC-19</t>
  </si>
  <si>
    <t>PII</t>
  </si>
  <si>
    <t>Hồ sơ tài khoản nhóm 3-5 có thu thập thông tin không cần thiết</t>
  </si>
  <si>
    <t>Chỉ thu tối thiểu</t>
  </si>
  <si>
    <t>Tài khoản 3-5 đang dùng có cấu trúc user gồm email, fullName, studentCode, phone, bio. Tài khoản này phone và bio để trống. Chưa xem các tài khoản trẻ em khác</t>
  </si>
  <si>
    <t>Quan sát cấu trúc app_auth_user</t>
  </si>
  <si>
    <t>Cần xem toàn bộ tài khoản nhóm 3-5 trong DB.</t>
  </si>
  <si>
    <t>SEC-20</t>
  </si>
  <si>
    <t>Upload</t>
  </si>
  <si>
    <t>Upload file sai loại, file lớn, tên file lạ ở nộp bài Lab</t>
  </si>
  <si>
    <t>Từ chối, giới hạn kích thước, không thực thi file</t>
  </si>
  <si>
    <t>Tester Lab upload: chặn .exe (400), tên .php.csv (400), PDF/XLSX giả (400), MIME sai (400), &gt;5MB (413). Tên ../../evil.json được nhận nhưng lưu tên UUID</t>
  </si>
  <si>
    <t>Test/Day30_Final_QA_Handover_Tran_Quoc_Nguyen/evidence/security_retest_2026-10-15.md mục 3</t>
  </si>
  <si>
    <t>Tạo 1 bài nộp LAB-01 của lop3-5 (dữ liệu test).</t>
  </si>
  <si>
    <t>SEC-21</t>
  </si>
  <si>
    <t>AI Retention</t>
  </si>
  <si>
    <t>Prompt gửi AI (Gemini) có chứa PII học sinh, và có lưu log lời nhắc không</t>
  </si>
  <si>
    <t>Không gửi PII, chính sách lưu trữ ghi rõ</t>
  </si>
  <si>
    <t>Chưa rà soát</t>
  </si>
  <si>
    <t>Cần đọc code AI Coach và cấu hình.</t>
  </si>
  <si>
    <t>SEC-22</t>
  </si>
  <si>
    <t>Chạy lại QA Harness (Day 27) mục security-idor-authoring</t>
  </si>
  <si>
    <t>Chưa chạy lại trong phiên này</t>
  </si>
  <si>
    <t>Chạy ở /authoring?view=qa bằng tài khoản giáo viên.</t>
  </si>
  <si>
    <t>SEC-23</t>
  </si>
  <si>
    <t>IDOR chéo user: học sinh A đọc bài nộp/tiến độ của học sinh B</t>
  </si>
  <si>
    <t>403 hoặc 404</t>
  </si>
  <si>
    <t>Dùng 2 học sinh lop3-5 và lop6-9: đọc bài nộp người khác 403; coach/hint history người khác 403; quiz review/submit lượt người khác 404; debug-loop bài người khác 404</t>
  </si>
  <si>
    <t>Test/Day30_Final_QA_Handover_Tran_Quoc_Nguyen/evidence/security_retest_2026-10-15.md mục 2</t>
  </si>
  <si>
    <t>Hết BLOCKED: dùng tài khoản học sinh thứ hai do tester cung cấp.</t>
  </si>
  <si>
    <t>SEC-24</t>
  </si>
  <si>
    <t>Xem chi tiết bài tập bằng slug khi KHÔNG có token</t>
  </si>
  <si>
    <t>401 hoặc có quyết định rõ là công khai</t>
  </si>
  <si>
    <t>GET /api/exercises/{slug} trả 200 khi không có token</t>
  </si>
  <si>
    <t>Console Chrome (fetch) localhost:3000, chạy 12/10 và 14/10/2026</t>
  </si>
  <si>
    <t>SEC-25</t>
  </si>
  <si>
    <t>Học sinh nhóm 3-5 mở trực tiếp chi tiết bài nhóm 6-9 và 9-12 bằng slug</t>
  </si>
  <si>
    <t>Cả hai đều 200 và trả nội dung đầy đủ (mô tả, starterCode, test hiển thị)</t>
  </si>
  <si>
    <t>Privacy Checklist</t>
  </si>
  <si>
    <t>ID</t>
  </si>
  <si>
    <t>Nội dung checklist</t>
  </si>
  <si>
    <t>Dữ liệu hoặc chức năng</t>
  </si>
  <si>
    <t>Yêu cầu</t>
  </si>
  <si>
    <t>Mức rủi ro</t>
  </si>
  <si>
    <t>PRV-01</t>
  </si>
  <si>
    <t>Dữ liệu trẻ em chỉ là dữ liệu giả lập</t>
  </si>
  <si>
    <t>Tài khoản nhóm 3-5, usability, bài nộp</t>
  </si>
  <si>
    <t>Không có dữ liệu trẻ em thật</t>
  </si>
  <si>
    <t>Chưa xác nhận: cần người phụ trách xác nhận danh sách tài khoản</t>
  </si>
  <si>
    <t>Chủ dự án</t>
  </si>
  <si>
    <t>Điều kiện nghiệm thu bắt buộc của Ngày 29. Tester không tự khẳng định được.</t>
  </si>
  <si>
    <t>PRV-02</t>
  </si>
  <si>
    <t>Thu thập tối thiểu với tài khoản trẻ em</t>
  </si>
  <si>
    <t>Hồ sơ user: phone, bio, email</t>
  </si>
  <si>
    <t>Không thu thông tin không cần thiết</t>
  </si>
  <si>
    <t>Có trường phone, bio, email, fullName; tài khoản đang dùng phone và bio để trống; chưa xem tài khoản khác</t>
  </si>
  <si>
    <t>Cấu trúc app_auth_user</t>
  </si>
  <si>
    <t>Tester</t>
  </si>
  <si>
    <t>Xem SEC-19.</t>
  </si>
  <si>
    <t>PRV-03</t>
  </si>
  <si>
    <t>Nội dung theo nhóm tuổi không lộ chéo</t>
  </si>
  <si>
    <t>/api/exercises, /playground</t>
  </si>
  <si>
    <t>Học sinh chỉ thấy nội dung nhóm mình</t>
  </si>
  <si>
    <t>Học sinh nhóm 3-5 nhận cả 45 bài (20 bài 6-9, 15 bài 9-12) và mở được chi tiết từng bài bằng slug</t>
  </si>
  <si>
    <t>Console Chrome 12/10 và 14/10/2026</t>
  </si>
  <si>
    <t>Xem SEC-10, RISK-02.</t>
  </si>
  <si>
    <t>PRV-04</t>
  </si>
  <si>
    <t>Danh sách bài học không công khai thông tin tác giả</t>
  </si>
  <si>
    <t>/api/authoring/lessons</t>
  </si>
  <si>
    <t>Cần đăng nhập, không lộ authorId</t>
  </si>
  <si>
    <t>Truy cập ẩn danh lấy được 62 bài học (25 bài có authorId) và chi tiết bài tập theo slug</t>
  </si>
  <si>
    <t>Console Chrome 12/10/2026</t>
  </si>
  <si>
    <t>Xem SEC-03, RISK-01.</t>
  </si>
  <si>
    <t>PRV-05</t>
  </si>
  <si>
    <t>Token đăng nhập không để ở nơi dễ bị đánh cắp</t>
  </si>
  <si>
    <t>FE localStorage</t>
  </si>
  <si>
    <t>Cookie HttpOnly hoặc chấp nhận có ghi nhận</t>
  </si>
  <si>
    <t>Lưu JWT ở localStorage</t>
  </si>
  <si>
    <t>Quan sát localStorage</t>
  </si>
  <si>
    <t>Xem SEC-18, RISK-04.</t>
  </si>
  <si>
    <t>PRV-06</t>
  </si>
  <si>
    <t>Log không chứa token, mật khẩu, PII</t>
  </si>
  <si>
    <t>Log BE, log FE console</t>
  </si>
  <si>
    <t>Không có dữ liệu nhạy cảm trong log</t>
  </si>
  <si>
    <t>Chưa rà soát log BE</t>
  </si>
  <si>
    <t>Cần mở log BE sau khi chạy các luồng chính.</t>
  </si>
  <si>
    <t>PRV-07</t>
  </si>
  <si>
    <t>Chính sách lưu trữ dữ liệu gửi AI</t>
  </si>
  <si>
    <t>Gemini, AI Coach, AI Lab</t>
  </si>
  <si>
    <t>Ghi rõ dữ liệu gửi đi và thời gian lưu</t>
  </si>
  <si>
    <t>Xem SEC-21.</t>
  </si>
  <si>
    <t>PRV-08</t>
  </si>
  <si>
    <t>Đồng ý của phụ huynh khi ghi nhận usability của trẻ em</t>
  </si>
  <si>
    <t>/authoring?view=usability</t>
  </si>
  <si>
    <t>Thiếu Parental Consent bị chặn (400)</t>
  </si>
  <si>
    <t>Giao diện có khóa bảo vệ trẻ em; chưa chạy lại hôm nay</t>
  </si>
  <si>
    <t>Chạy lại bằng tài khoản giáo viên, dùng dữ liệu giả.</t>
  </si>
  <si>
    <t>Risk Acceptance Log</t>
  </si>
  <si>
    <t>Risk ID</t>
  </si>
  <si>
    <t>Test hoặc Checklist ID</t>
  </si>
  <si>
    <t>Mô tả rủi ro</t>
  </si>
  <si>
    <t>Ảnh hưởng</t>
  </si>
  <si>
    <t>Khả năng</t>
  </si>
  <si>
    <t>Cách xử lý</t>
  </si>
  <si>
    <t>Deadline</t>
  </si>
  <si>
    <t>Người phê duyệt</t>
  </si>
  <si>
    <t>Ngày quyết định</t>
  </si>
  <si>
    <t>SEC-03, SEC-04, PRV-04</t>
  </si>
  <si>
    <t>API danh sách bài học và bài tập mở cho người chưa đăng nhập, kèm authorId và nội dung. Ảnh hưởng: lộ nội dung bài, ID tác giả, có thể lộ bản nháp</t>
  </si>
  <si>
    <t>Moderate</t>
  </si>
  <si>
    <t>FIX</t>
  </si>
  <si>
    <t>BE</t>
  </si>
  <si>
    <t>OPEN</t>
  </si>
  <si>
    <t>SEC-10, PRV-03</t>
  </si>
  <si>
    <t>Học sinh nhóm 3-5 nhận bài của nhóm 6-9 và 9-12, kể cả mở trực tiếp bằng slug; server không lọc theo ageGroup. Ảnh hưởng: nội dung không phù hợp độ tuổi, trái yêu cầu không truy cập chéo lớp</t>
  </si>
  <si>
    <t>Needs investigation</t>
  </si>
  <si>
    <t>API thiếu security headers (CSP, X-Frame-Options, X-Content-Type-Options). Ảnh hưởng: tăng nguy cơ clickjacking/MIME sniffing khi triển khai thật</t>
  </si>
  <si>
    <t>Minor</t>
  </si>
  <si>
    <t>MITIGATE</t>
  </si>
  <si>
    <t>SEC-18, PRV-05</t>
  </si>
  <si>
    <t>JWT lưu trong localStorage. Ảnh hưởng: nếu có XSS thì bị đánh cắp phiên</t>
  </si>
  <si>
    <t>ACCEPT</t>
  </si>
  <si>
    <t>FE</t>
  </si>
  <si>
    <t>SEC-15, SEC-16, SEC-17</t>
  </si>
  <si>
    <t>Đã quét secret trong source và lịch sử git (15/10, không thấy khóa nhà cung cấp thật; phát hiện tách thành RISK-06, RISK-07). Chưa quét log runtime và chưa chạy gitleaks.</t>
  </si>
  <si>
    <t>Severe</t>
  </si>
  <si>
    <t>QA</t>
  </si>
  <si>
    <t>secret_scan_2026-10-15.md (Day 30 evidence): không thấy khóa thật; còn thiếu log runtime, gitleaks. Chờ phê duyệt đóng</t>
  </si>
  <si>
    <t>RISK-06</t>
  </si>
  <si>
    <t>BE tự tạo tài khoản admin/teacher/student với mật khẩu ghi trong initial-data.ts và README khi NODE_ENV khác production; đăng nhập được trên local</t>
  </si>
  <si>
    <t>security_retest_2026-10-15.md mục 5</t>
  </si>
  <si>
    <t>RISK-07</t>
  </si>
  <si>
    <t>Data service Task21 ghi cứng API key (có key admin) và CORS * trong src/config.py</t>
  </si>
  <si>
    <t>Data AI</t>
  </si>
  <si>
    <t>secret_scan_2026-10-15.md mục 5</t>
  </si>
  <si>
    <t>BE enableCors origin:true + credentials: mọi origin đọc được phản hồi</t>
  </si>
  <si>
    <t>security_retest_2026-10-15.md mục 4</t>
  </si>
  <si>
    <t>Threat Model</t>
  </si>
  <si>
    <t>Threat ID</t>
  </si>
  <si>
    <t>Tài sản hoặc luồng dữ liệu</t>
  </si>
  <si>
    <t>Mối đe dọa</t>
  </si>
  <si>
    <t>Điểm vào</t>
  </si>
  <si>
    <t>Kiểm soát hiện có</t>
  </si>
  <si>
    <t>Phát hiện</t>
  </si>
  <si>
    <t>Hành động</t>
  </si>
  <si>
    <t>TM-01</t>
  </si>
  <si>
    <t>Phiên đăng nhập (JWT)</t>
  </si>
  <si>
    <t>Đánh cắp token qua XSS</t>
  </si>
  <si>
    <t>Rate limit đăng nhập (429); 401 với token sai</t>
  </si>
  <si>
    <t>Token để ở localStorage</t>
  </si>
  <si>
    <t>Cân nhắc cookie HttpOnly sau MVP</t>
  </si>
  <si>
    <t>Dev FE</t>
  </si>
  <si>
    <t>TM-02</t>
  </si>
  <si>
    <t>Nội dung bài học và bài tập</t>
  </si>
  <si>
    <t>Truy cập ẩn danh lấy nội dung và authorId</t>
  </si>
  <si>
    <t>GET /api/authoring/lessons, /api/exercises</t>
  </si>
  <si>
    <t>Chi tiết bài và ghi/xóa đã có guard (401/403)</t>
  </si>
  <si>
    <t>Danh sách không có guard</t>
  </si>
  <si>
    <t>Thêm guard hoặc chỉ trả bản published tối thiểu</t>
  </si>
  <si>
    <t>Dev BE</t>
  </si>
  <si>
    <t>TM-03</t>
  </si>
  <si>
    <t>Test ẩn và đáp án</t>
  </si>
  <si>
    <t>Học viên lấy test ẩn để làm bài gian lận</t>
  </si>
  <si>
    <t>API learner</t>
  </si>
  <si>
    <t>Test ẩn chỉ còn cờ isHidden (118/118)</t>
  </si>
  <si>
    <t>Đã kiểm endpoint chi tiết /api/exercises/{slug}: không có solution, test ẩn chỉ còn hiddenTestCount</t>
  </si>
  <si>
    <t>Major</t>
  </si>
  <si>
    <t>Kiểm endpoint chi tiết khi có đường dẫn thật</t>
  </si>
  <si>
    <t>TM-04</t>
  </si>
  <si>
    <t>Dữ liệu theo nhóm tuổi</t>
  </si>
  <si>
    <t>Học sinh nhóm nhỏ xem nội dung nhóm lớn</t>
  </si>
  <si>
    <t>GET /api/exercises</t>
  </si>
  <si>
    <t>Không thấy lọc ở BE (đã gọi thẳng API)</t>
  </si>
  <si>
    <t>Server không lọc theo ageGroup; chi tiết bài nhóm khác mở được bằng slug</t>
  </si>
  <si>
    <t>Lọc ở BE theo ageGroup + test</t>
  </si>
  <si>
    <t>TM-05</t>
  </si>
  <si>
    <t>Dữ liệu học sinh (PII, trẻ em)</t>
  </si>
  <si>
    <t>Lộ email, tên, phone, bio</t>
  </si>
  <si>
    <t>Hồ sơ user, bài nộp</t>
  </si>
  <si>
    <t>Có Child Safety Guard ở Usability</t>
  </si>
  <si>
    <t>Chưa rà dữ liệu thật/giả</t>
  </si>
  <si>
    <t>Xác nhận toàn bộ dữ liệu trẻ em là giả lập</t>
  </si>
  <si>
    <t>TM-06</t>
  </si>
  <si>
    <t>Secrets (.env, token Cybersoft, GEMINI_API_KEY)</t>
  </si>
  <si>
    <t>Lộ secret qua repo hoặc log</t>
  </si>
  <si>
    <t>Repo git, log</t>
  </si>
  <si>
    <t>Có .gitignore (chưa xác minh)</t>
  </si>
  <si>
    <t>Chưa quét</t>
  </si>
  <si>
    <t>Quét repo + lịch sử, đổi key nếu lộ</t>
  </si>
  <si>
    <t>Tester + Dev</t>
  </si>
  <si>
    <t>TM-07</t>
  </si>
  <si>
    <t>Nộp bài Lab và upload file</t>
  </si>
  <si>
    <t>Upload file độc hại hoặc quá lớn</t>
  </si>
  <si>
    <t>Trang nộp Lab</t>
  </si>
  <si>
    <t>Chưa rõ</t>
  </si>
  <si>
    <t>Chưa kiểm</t>
  </si>
  <si>
    <t>Giới hạn loại/kích thước, không thực thi</t>
  </si>
  <si>
    <t>TM-08</t>
  </si>
  <si>
    <t>Dữ liệu gửi AI (Gemini)</t>
  </si>
  <si>
    <t>PII bị gửi ra dịch vụ ngoài</t>
  </si>
  <si>
    <t>AI Coach, AI Lab</t>
  </si>
  <si>
    <t>Rà prompt, ghi chính sách lưu trữ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</si>
</sst>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0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5"/>
      <color rgb="FF17365D"/>
      <name val="Arial"/>
    </font>
    <font>
      <b/>
      <sz val="10"/>
      <color rgb="FF17365D"/>
      <name val="Arial"/>
    </font>
    <font>
      <b/>
      <sz val="11"/>
      <color rgb="FFB42318"/>
      <name val="Arial"/>
    </font>
    <font>
      <b/>
      <sz val="10"/>
      <color rgb="FF237804"/>
      <name val="Arial"/>
    </font>
    <font>
      <b/>
      <sz val="10"/>
      <color rgb="FFB42318"/>
      <name val="Arial"/>
    </font>
    <font>
      <b/>
      <i/>
      <sz val="9"/>
      <color rgb="FF667085"/>
      <name val="Arial"/>
    </font>
    <font>
      <i/>
      <sz val="9"/>
      <color rgb="FF667085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DE9E7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40">
    <dxf>
      <font>
        <b/>
        <color rgb="FF1B5E2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1B5E2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1B5E2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24"/>
  <sheetViews>
    <sheetView showGridLines="0" workbookViewId="0">
      <pane ySplit="3" topLeftCell="A10" activePane="bottomLeft" state="frozen"/>
      <selection pane="bottomLeft" activeCell="B25" sqref="A1:XFD1048576"/>
    </sheetView>
  </sheetViews>
  <sheetFormatPr defaultRowHeight="14.25"/>
  <cols>
    <col min="1" max="1" width="42" style="1" customWidth="1"/>
    <col min="2" max="2" width="86" style="1" customWidth="1"/>
    <col min="3" max="8" width="12" style="1" customWidth="1"/>
    <col min="9" max="9" width="9" style="1" customWidth="1"/>
    <col min="10" max="16384" width="9" style="1"/>
  </cols>
  <sheetData>
    <row r="1" spans="1:2">
      <c r="A1" s="6"/>
      <c r="B1" s="6"/>
    </row>
    <row r="2" spans="1:2" ht="27.95" customHeight="1">
      <c r="A2" s="8" t="s">
        <v>0</v>
      </c>
      <c r="B2" s="9"/>
    </row>
    <row r="3" spans="1:2" ht="14.25" customHeight="1">
      <c r="A3" s="2"/>
      <c r="B3" s="3"/>
    </row>
    <row r="4" spans="1:2" ht="27.95" customHeight="1">
      <c r="A4" s="10" t="s">
        <v>1</v>
      </c>
      <c r="B4" s="7" t="s">
        <v>2</v>
      </c>
    </row>
    <row r="5" spans="1:2" ht="27.95" customHeight="1">
      <c r="A5" s="11" t="s">
        <v>3</v>
      </c>
      <c r="B5" s="4" t="s">
        <v>4</v>
      </c>
    </row>
    <row r="6" spans="1:2" ht="27.95" customHeight="1">
      <c r="A6" s="11" t="s">
        <v>5</v>
      </c>
      <c r="B6" s="4" t="s">
        <v>6</v>
      </c>
    </row>
    <row r="7" spans="1:2" ht="39.950000000000003" customHeight="1">
      <c r="A7" s="11" t="s">
        <v>7</v>
      </c>
      <c r="B7" s="4" t="s">
        <v>8</v>
      </c>
    </row>
    <row r="8" spans="1:2" ht="39.950000000000003" customHeight="1">
      <c r="A8" s="11" t="s">
        <v>9</v>
      </c>
      <c r="B8" s="4" t="s">
        <v>10</v>
      </c>
    </row>
    <row r="9" spans="1:2" ht="39.950000000000003" customHeight="1">
      <c r="A9" s="11" t="s">
        <v>11</v>
      </c>
      <c r="B9" s="4" t="s">
        <v>12</v>
      </c>
    </row>
    <row r="10" spans="1:2" ht="27.95" customHeight="1">
      <c r="A10" s="11" t="s">
        <v>13</v>
      </c>
      <c r="B10" s="12" t="s">
        <v>14</v>
      </c>
    </row>
    <row r="11" spans="1:2" ht="14.25" customHeight="1">
      <c r="A11" s="3"/>
      <c r="B11" s="3"/>
    </row>
    <row r="12" spans="1:2" ht="14.25" customHeight="1">
      <c r="A12" s="7" t="s">
        <v>15</v>
      </c>
      <c r="B12" s="7" t="s">
        <v>16</v>
      </c>
    </row>
    <row r="13" spans="1:2" ht="24" customHeight="1">
      <c r="A13" s="2" t="s">
        <v>17</v>
      </c>
      <c r="B13" s="5">
        <f>COUNTA('Ket qua test'!$D$5:$D$54)</f>
        <v>25</v>
      </c>
    </row>
    <row r="14" spans="1:2" ht="24" customHeight="1">
      <c r="A14" s="2" t="s">
        <v>18</v>
      </c>
      <c r="B14" s="5">
        <f>COUNTIF('Ket qua test'!$G$5:$G$54,"&lt;&gt;")</f>
        <v>25</v>
      </c>
    </row>
    <row r="15" spans="1:2" ht="24" customHeight="1">
      <c r="A15" s="13" t="s">
        <v>19</v>
      </c>
      <c r="B15" s="14">
        <f>COUNTIF('Ket qua test'!$G$5:$G$54,"PASS")</f>
        <v>12</v>
      </c>
    </row>
    <row r="16" spans="1:2" ht="24" customHeight="1">
      <c r="A16" s="15" t="s">
        <v>20</v>
      </c>
      <c r="B16" s="16">
        <f>COUNTIF('Ket qua test'!$G$5:$G$54,"FAIL")</f>
        <v>10</v>
      </c>
    </row>
    <row r="17" spans="1:8" ht="24" customHeight="1">
      <c r="A17" s="2" t="s">
        <v>21</v>
      </c>
      <c r="B17" s="5">
        <f>COUNTIF('Ket qua test'!$G$5:$G$54,"BLOCKED")</f>
        <v>0</v>
      </c>
    </row>
    <row r="18" spans="1:8" ht="24" customHeight="1">
      <c r="A18" s="17" t="s">
        <v>22</v>
      </c>
      <c r="B18" s="18">
        <f>COUNTIF('Ket qua test'!$G$5:$G$54,"NOT RUN")</f>
        <v>3</v>
      </c>
    </row>
    <row r="19" spans="1:8" ht="24" customHeight="1">
      <c r="A19" s="17" t="s">
        <v>23</v>
      </c>
      <c r="B19" s="18">
        <f>COUNTIFS('Risk Log'!$F$5:$F$24,"Critical",'Risk Log'!$L$5:$L$24,"&lt;&gt;CLOSED")+COUNTIFS('Risk Log'!$F$5:$F$24,"High",'Risk Log'!$L$5:$L$24,"&lt;&gt;CLOSED")</f>
        <v>4</v>
      </c>
    </row>
    <row r="20" spans="1:8" ht="24" customHeight="1">
      <c r="A20" s="17" t="s">
        <v>24</v>
      </c>
      <c r="B20" s="18">
        <f>COUNTIFS('Risk Log'!$C$5:$C$24,"&lt;&gt;")-COUNTIFS('Risk Log'!$C$5:$C$24,"&lt;&gt;",'Risk Log'!$J$5:$J$24,"&lt;&gt;")</f>
        <v>8</v>
      </c>
    </row>
    <row r="21" spans="1:8" ht="24" customHeight="1">
      <c r="A21" s="2" t="s">
        <v>25</v>
      </c>
      <c r="B21" s="5">
        <f>COUNTIF('Privacy Checklist'!$F$5:$F$34,"&lt;&gt;")</f>
        <v>8</v>
      </c>
    </row>
    <row r="22" spans="1:8" ht="14.25" customHeight="1">
      <c r="A22" s="2"/>
      <c r="B22" s="3"/>
    </row>
    <row r="23" spans="1:8" ht="42" customHeight="1">
      <c r="A23" s="19" t="s">
        <v>26</v>
      </c>
      <c r="B23" s="20"/>
      <c r="C23" s="21"/>
      <c r="D23" s="21"/>
      <c r="E23" s="21"/>
      <c r="F23" s="21"/>
      <c r="G23" s="21"/>
      <c r="H23" s="21"/>
    </row>
    <row r="24" spans="1:8" ht="27.95" customHeight="1">
      <c r="A24" s="21"/>
      <c r="B24" s="21"/>
      <c r="C24" s="21"/>
      <c r="D24" s="21"/>
      <c r="E24" s="21"/>
      <c r="F24" s="21"/>
      <c r="G24" s="21"/>
      <c r="H24" s="21"/>
    </row>
  </sheetData>
  <mergeCells count="2">
    <mergeCell ref="A23:H24"/>
    <mergeCell ref="A2:B2"/>
  </mergeCells>
  <dataValidations count="1">
    <dataValidation type="list" sqref="B10" xr:uid="{00000000-0002-0000-0000-000000000000}">
      <formula1>"READY,READY WITH CONDITIONS,HOLD,CHƯA KẾT LUẬN"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M54"/>
  <sheetViews>
    <sheetView showGridLines="0" workbookViewId="0">
      <pane xSplit="1" ySplit="4" topLeftCell="B23" activePane="bottomRight" state="frozen"/>
      <selection pane="topRight"/>
      <selection pane="bottomLeft"/>
      <selection pane="bottomRight" activeCell="H29" sqref="H29"/>
    </sheetView>
  </sheetViews>
  <sheetFormatPr defaultRowHeight="14.25"/>
  <cols>
    <col min="1" max="1" width="12" style="1" customWidth="1"/>
    <col min="2" max="2" width="18" style="1" customWidth="1"/>
    <col min="3" max="3" width="13" style="1" customWidth="1"/>
    <col min="4" max="4" width="34" style="1" customWidth="1"/>
    <col min="5" max="5" width="31" style="1" customWidth="1"/>
    <col min="6" max="6" width="38" style="1" customWidth="1"/>
    <col min="7" max="7" width="12" style="1" customWidth="1"/>
    <col min="8" max="8" width="14" style="1" customWidth="1"/>
    <col min="9" max="9" width="30" style="1" customWidth="1"/>
    <col min="10" max="10" width="18" style="1" customWidth="1"/>
    <col min="11" max="11" width="23" style="1" customWidth="1"/>
    <col min="12" max="12" width="20" style="1" customWidth="1"/>
    <col min="13" max="13" width="36" style="1" customWidth="1"/>
    <col min="14" max="14" width="9" style="1" customWidth="1"/>
    <col min="15" max="16384" width="9" style="1"/>
  </cols>
  <sheetData>
    <row r="1" spans="1: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7.95" customHeight="1">
      <c r="A2" s="8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3.950000000000003" customHeight="1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</row>
    <row r="5" spans="1:13" ht="57.95" customHeight="1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5" t="s">
        <v>19</v>
      </c>
      <c r="H5" s="3" t="s">
        <v>47</v>
      </c>
      <c r="I5" s="3" t="s">
        <v>48</v>
      </c>
      <c r="J5" s="3"/>
      <c r="K5" s="3" t="s">
        <v>2</v>
      </c>
      <c r="L5" s="3" t="s">
        <v>49</v>
      </c>
      <c r="M5" s="3"/>
    </row>
    <row r="6" spans="1:13" ht="57.95" customHeight="1">
      <c r="A6" s="3" t="s">
        <v>50</v>
      </c>
      <c r="B6" s="3" t="s">
        <v>42</v>
      </c>
      <c r="C6" s="3" t="s">
        <v>43</v>
      </c>
      <c r="D6" s="3" t="s">
        <v>51</v>
      </c>
      <c r="E6" s="3" t="s">
        <v>45</v>
      </c>
      <c r="F6" s="3" t="s">
        <v>52</v>
      </c>
      <c r="G6" s="5" t="s">
        <v>19</v>
      </c>
      <c r="H6" s="3" t="s">
        <v>47</v>
      </c>
      <c r="I6" s="3" t="s">
        <v>48</v>
      </c>
      <c r="J6" s="3"/>
      <c r="K6" s="3" t="s">
        <v>2</v>
      </c>
      <c r="L6" s="3" t="s">
        <v>49</v>
      </c>
      <c r="M6" s="3"/>
    </row>
    <row r="7" spans="1:13" ht="57.95" customHeight="1">
      <c r="A7" s="3" t="s">
        <v>53</v>
      </c>
      <c r="B7" s="3" t="s">
        <v>42</v>
      </c>
      <c r="C7" s="3" t="s">
        <v>43</v>
      </c>
      <c r="D7" s="3" t="s">
        <v>54</v>
      </c>
      <c r="E7" s="3" t="s">
        <v>55</v>
      </c>
      <c r="F7" s="3" t="s">
        <v>56</v>
      </c>
      <c r="G7" s="5" t="s">
        <v>20</v>
      </c>
      <c r="H7" s="3" t="s">
        <v>57</v>
      </c>
      <c r="I7" s="3" t="s">
        <v>48</v>
      </c>
      <c r="J7" s="3" t="s">
        <v>58</v>
      </c>
      <c r="K7" s="3" t="s">
        <v>2</v>
      </c>
      <c r="L7" s="3" t="s">
        <v>49</v>
      </c>
      <c r="M7" s="3" t="s">
        <v>59</v>
      </c>
    </row>
    <row r="8" spans="1:13" ht="57.95" customHeight="1">
      <c r="A8" s="3" t="s">
        <v>60</v>
      </c>
      <c r="B8" s="3" t="s">
        <v>42</v>
      </c>
      <c r="C8" s="3" t="s">
        <v>43</v>
      </c>
      <c r="D8" s="3" t="s">
        <v>61</v>
      </c>
      <c r="E8" s="3" t="s">
        <v>62</v>
      </c>
      <c r="F8" s="3" t="s">
        <v>63</v>
      </c>
      <c r="G8" s="5" t="s">
        <v>20</v>
      </c>
      <c r="H8" s="3" t="s">
        <v>57</v>
      </c>
      <c r="I8" s="3" t="s">
        <v>48</v>
      </c>
      <c r="J8" s="3" t="s">
        <v>58</v>
      </c>
      <c r="K8" s="3" t="s">
        <v>2</v>
      </c>
      <c r="L8" s="3" t="s">
        <v>49</v>
      </c>
      <c r="M8" s="3" t="s">
        <v>64</v>
      </c>
    </row>
    <row r="9" spans="1:13" ht="57.95" customHeight="1">
      <c r="A9" s="3" t="s">
        <v>65</v>
      </c>
      <c r="B9" s="3" t="s">
        <v>42</v>
      </c>
      <c r="C9" s="3" t="s">
        <v>43</v>
      </c>
      <c r="D9" s="3" t="s">
        <v>66</v>
      </c>
      <c r="E9" s="3" t="s">
        <v>67</v>
      </c>
      <c r="F9" s="3" t="s">
        <v>68</v>
      </c>
      <c r="G9" s="5" t="s">
        <v>19</v>
      </c>
      <c r="H9" s="3" t="s">
        <v>47</v>
      </c>
      <c r="I9" s="3" t="s">
        <v>48</v>
      </c>
      <c r="J9" s="3"/>
      <c r="K9" s="3" t="s">
        <v>2</v>
      </c>
      <c r="L9" s="3" t="s">
        <v>49</v>
      </c>
      <c r="M9" s="3" t="s">
        <v>69</v>
      </c>
    </row>
    <row r="10" spans="1:13" ht="57.95" customHeight="1">
      <c r="A10" s="3" t="s">
        <v>70</v>
      </c>
      <c r="B10" s="3" t="s">
        <v>42</v>
      </c>
      <c r="C10" s="3" t="s">
        <v>43</v>
      </c>
      <c r="D10" s="3" t="s">
        <v>71</v>
      </c>
      <c r="E10" s="3" t="s">
        <v>72</v>
      </c>
      <c r="F10" s="3" t="s">
        <v>73</v>
      </c>
      <c r="G10" s="5" t="s">
        <v>19</v>
      </c>
      <c r="H10" s="3" t="s">
        <v>47</v>
      </c>
      <c r="I10" s="3" t="s">
        <v>48</v>
      </c>
      <c r="J10" s="3"/>
      <c r="K10" s="3" t="s">
        <v>2</v>
      </c>
      <c r="L10" s="3" t="s">
        <v>49</v>
      </c>
      <c r="M10" s="3" t="s">
        <v>74</v>
      </c>
    </row>
    <row r="11" spans="1:13" ht="57.95" customHeight="1">
      <c r="A11" s="3" t="s">
        <v>75</v>
      </c>
      <c r="B11" s="3" t="s">
        <v>42</v>
      </c>
      <c r="C11" s="3" t="s">
        <v>43</v>
      </c>
      <c r="D11" s="3" t="s">
        <v>76</v>
      </c>
      <c r="E11" s="3" t="s">
        <v>77</v>
      </c>
      <c r="F11" s="3" t="s">
        <v>77</v>
      </c>
      <c r="G11" s="5" t="s">
        <v>19</v>
      </c>
      <c r="H11" s="3" t="s">
        <v>47</v>
      </c>
      <c r="I11" s="3" t="s">
        <v>48</v>
      </c>
      <c r="J11" s="3"/>
      <c r="K11" s="3" t="s">
        <v>2</v>
      </c>
      <c r="L11" s="3" t="s">
        <v>49</v>
      </c>
      <c r="M11" s="3" t="s">
        <v>78</v>
      </c>
    </row>
    <row r="12" spans="1:13" ht="57.95" customHeight="1">
      <c r="A12" s="3" t="s">
        <v>79</v>
      </c>
      <c r="B12" s="3" t="s">
        <v>42</v>
      </c>
      <c r="C12" s="3" t="s">
        <v>43</v>
      </c>
      <c r="D12" s="3" t="s">
        <v>80</v>
      </c>
      <c r="E12" s="3" t="s">
        <v>81</v>
      </c>
      <c r="F12" s="3" t="s">
        <v>81</v>
      </c>
      <c r="G12" s="5" t="s">
        <v>19</v>
      </c>
      <c r="H12" s="3" t="s">
        <v>47</v>
      </c>
      <c r="I12" s="3" t="s">
        <v>48</v>
      </c>
      <c r="J12" s="3"/>
      <c r="K12" s="3" t="s">
        <v>2</v>
      </c>
      <c r="L12" s="3" t="s">
        <v>49</v>
      </c>
      <c r="M12" s="3" t="s">
        <v>82</v>
      </c>
    </row>
    <row r="13" spans="1:13" ht="57.95" customHeight="1">
      <c r="A13" s="3" t="s">
        <v>83</v>
      </c>
      <c r="B13" s="3" t="s">
        <v>42</v>
      </c>
      <c r="C13" s="3" t="s">
        <v>43</v>
      </c>
      <c r="D13" s="3" t="s">
        <v>84</v>
      </c>
      <c r="E13" s="3" t="s">
        <v>81</v>
      </c>
      <c r="F13" s="3" t="s">
        <v>85</v>
      </c>
      <c r="G13" s="5" t="s">
        <v>19</v>
      </c>
      <c r="H13" s="3" t="s">
        <v>47</v>
      </c>
      <c r="I13" s="3" t="s">
        <v>86</v>
      </c>
      <c r="J13" s="3"/>
      <c r="K13" s="3" t="s">
        <v>87</v>
      </c>
      <c r="L13" s="3" t="s">
        <v>88</v>
      </c>
      <c r="M13" s="3" t="s">
        <v>89</v>
      </c>
    </row>
    <row r="14" spans="1:13" ht="57.95" customHeight="1">
      <c r="A14" s="3" t="s">
        <v>90</v>
      </c>
      <c r="B14" s="3" t="s">
        <v>42</v>
      </c>
      <c r="C14" s="3" t="s">
        <v>43</v>
      </c>
      <c r="D14" s="3" t="s">
        <v>91</v>
      </c>
      <c r="E14" s="3" t="s">
        <v>92</v>
      </c>
      <c r="F14" s="3" t="s">
        <v>93</v>
      </c>
      <c r="G14" s="5" t="s">
        <v>20</v>
      </c>
      <c r="H14" s="3" t="s">
        <v>57</v>
      </c>
      <c r="I14" s="3" t="s">
        <v>94</v>
      </c>
      <c r="J14" s="3" t="s">
        <v>95</v>
      </c>
      <c r="K14" s="3" t="s">
        <v>2</v>
      </c>
      <c r="L14" s="3" t="s">
        <v>49</v>
      </c>
      <c r="M14" s="3" t="s">
        <v>96</v>
      </c>
    </row>
    <row r="15" spans="1:13" ht="57.95" customHeight="1">
      <c r="A15" s="3" t="s">
        <v>97</v>
      </c>
      <c r="B15" s="3" t="s">
        <v>98</v>
      </c>
      <c r="C15" s="3" t="s">
        <v>43</v>
      </c>
      <c r="D15" s="3" t="s">
        <v>99</v>
      </c>
      <c r="E15" s="3" t="s">
        <v>100</v>
      </c>
      <c r="F15" s="3" t="s">
        <v>101</v>
      </c>
      <c r="G15" s="5" t="s">
        <v>19</v>
      </c>
      <c r="H15" s="3" t="s">
        <v>47</v>
      </c>
      <c r="I15" s="3" t="s">
        <v>48</v>
      </c>
      <c r="J15" s="3"/>
      <c r="K15" s="3" t="s">
        <v>2</v>
      </c>
      <c r="L15" s="3" t="s">
        <v>49</v>
      </c>
      <c r="M15" s="3" t="s">
        <v>102</v>
      </c>
    </row>
    <row r="16" spans="1:13" ht="57.95" customHeight="1">
      <c r="A16" s="3" t="s">
        <v>103</v>
      </c>
      <c r="B16" s="3" t="s">
        <v>104</v>
      </c>
      <c r="C16" s="3" t="s">
        <v>43</v>
      </c>
      <c r="D16" s="3" t="s">
        <v>105</v>
      </c>
      <c r="E16" s="3" t="s">
        <v>106</v>
      </c>
      <c r="F16" s="3" t="s">
        <v>107</v>
      </c>
      <c r="G16" s="5" t="s">
        <v>19</v>
      </c>
      <c r="H16" s="3" t="s">
        <v>47</v>
      </c>
      <c r="I16" s="3" t="s">
        <v>48</v>
      </c>
      <c r="J16" s="3"/>
      <c r="K16" s="3" t="s">
        <v>2</v>
      </c>
      <c r="L16" s="3" t="s">
        <v>49</v>
      </c>
      <c r="M16" s="3" t="s">
        <v>108</v>
      </c>
    </row>
    <row r="17" spans="1:13" ht="57.95" customHeight="1">
      <c r="A17" s="3" t="s">
        <v>109</v>
      </c>
      <c r="B17" s="3" t="s">
        <v>98</v>
      </c>
      <c r="C17" s="3" t="s">
        <v>43</v>
      </c>
      <c r="D17" s="3" t="s">
        <v>110</v>
      </c>
      <c r="E17" s="3" t="s">
        <v>111</v>
      </c>
      <c r="F17" s="3" t="s">
        <v>112</v>
      </c>
      <c r="G17" s="5" t="s">
        <v>20</v>
      </c>
      <c r="H17" s="3" t="s">
        <v>113</v>
      </c>
      <c r="I17" s="3" t="s">
        <v>48</v>
      </c>
      <c r="J17" s="3" t="s">
        <v>114</v>
      </c>
      <c r="K17" s="3" t="s">
        <v>2</v>
      </c>
      <c r="L17" s="3" t="s">
        <v>49</v>
      </c>
      <c r="M17" s="3" t="s">
        <v>115</v>
      </c>
    </row>
    <row r="18" spans="1:13" ht="57.95" customHeight="1">
      <c r="A18" s="3" t="s">
        <v>116</v>
      </c>
      <c r="B18" s="3" t="s">
        <v>98</v>
      </c>
      <c r="C18" s="3" t="s">
        <v>43</v>
      </c>
      <c r="D18" s="3" t="s">
        <v>117</v>
      </c>
      <c r="E18" s="3" t="s">
        <v>118</v>
      </c>
      <c r="F18" s="3" t="s">
        <v>119</v>
      </c>
      <c r="G18" s="5" t="s">
        <v>20</v>
      </c>
      <c r="H18" s="3" t="s">
        <v>57</v>
      </c>
      <c r="I18" s="3" t="s">
        <v>120</v>
      </c>
      <c r="J18" s="3" t="s">
        <v>121</v>
      </c>
      <c r="K18" s="3" t="s">
        <v>87</v>
      </c>
      <c r="L18" s="3" t="s">
        <v>88</v>
      </c>
      <c r="M18" s="3" t="s">
        <v>122</v>
      </c>
    </row>
    <row r="19" spans="1:13" ht="57.95" customHeight="1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128</v>
      </c>
      <c r="G19" s="5" t="s">
        <v>20</v>
      </c>
      <c r="H19" s="3" t="s">
        <v>129</v>
      </c>
      <c r="I19" s="3" t="s">
        <v>130</v>
      </c>
      <c r="J19" s="3" t="s">
        <v>131</v>
      </c>
      <c r="K19" s="3" t="s">
        <v>87</v>
      </c>
      <c r="L19" s="3" t="s">
        <v>88</v>
      </c>
      <c r="M19" s="3" t="s">
        <v>132</v>
      </c>
    </row>
    <row r="20" spans="1:13" ht="57.95" customHeight="1">
      <c r="A20" s="3" t="s">
        <v>133</v>
      </c>
      <c r="B20" s="3" t="s">
        <v>124</v>
      </c>
      <c r="C20" s="3" t="s">
        <v>125</v>
      </c>
      <c r="D20" s="3" t="s">
        <v>134</v>
      </c>
      <c r="E20" s="3" t="s">
        <v>135</v>
      </c>
      <c r="F20" s="3" t="s">
        <v>136</v>
      </c>
      <c r="G20" s="5" t="s">
        <v>20</v>
      </c>
      <c r="H20" s="3" t="s">
        <v>129</v>
      </c>
      <c r="I20" s="3" t="s">
        <v>137</v>
      </c>
      <c r="J20" s="3" t="s">
        <v>138</v>
      </c>
      <c r="K20" s="3" t="s">
        <v>87</v>
      </c>
      <c r="L20" s="3" t="s">
        <v>88</v>
      </c>
      <c r="M20" s="3" t="s">
        <v>139</v>
      </c>
    </row>
    <row r="21" spans="1:13" ht="57.95" customHeight="1">
      <c r="A21" s="3" t="s">
        <v>140</v>
      </c>
      <c r="B21" s="3" t="s">
        <v>124</v>
      </c>
      <c r="C21" s="3" t="s">
        <v>141</v>
      </c>
      <c r="D21" s="3" t="s">
        <v>142</v>
      </c>
      <c r="E21" s="3" t="s">
        <v>143</v>
      </c>
      <c r="F21" s="3" t="s">
        <v>144</v>
      </c>
      <c r="G21" s="5" t="s">
        <v>19</v>
      </c>
      <c r="H21" s="3" t="s">
        <v>47</v>
      </c>
      <c r="I21" s="3" t="s">
        <v>145</v>
      </c>
      <c r="J21" s="3" t="s">
        <v>146</v>
      </c>
      <c r="K21" s="3" t="s">
        <v>2</v>
      </c>
      <c r="L21" s="3" t="s">
        <v>147</v>
      </c>
      <c r="M21" s="3" t="s">
        <v>148</v>
      </c>
    </row>
    <row r="22" spans="1:13" ht="57.95" customHeight="1">
      <c r="A22" s="3" t="s">
        <v>149</v>
      </c>
      <c r="B22" s="3" t="s">
        <v>124</v>
      </c>
      <c r="C22" s="3" t="s">
        <v>141</v>
      </c>
      <c r="D22" s="3" t="s">
        <v>150</v>
      </c>
      <c r="E22" s="3" t="s">
        <v>151</v>
      </c>
      <c r="F22" s="3" t="s">
        <v>152</v>
      </c>
      <c r="G22" s="5" t="s">
        <v>20</v>
      </c>
      <c r="H22" s="3" t="s">
        <v>113</v>
      </c>
      <c r="I22" s="3" t="s">
        <v>153</v>
      </c>
      <c r="J22" s="3" t="s">
        <v>154</v>
      </c>
      <c r="K22" s="3" t="s">
        <v>2</v>
      </c>
      <c r="L22" s="3" t="s">
        <v>155</v>
      </c>
      <c r="M22" s="3" t="s">
        <v>156</v>
      </c>
    </row>
    <row r="23" spans="1:13" ht="57.95" customHeight="1">
      <c r="A23" s="3" t="s">
        <v>157</v>
      </c>
      <c r="B23" s="3" t="s">
        <v>158</v>
      </c>
      <c r="C23" s="3" t="s">
        <v>141</v>
      </c>
      <c r="D23" s="3" t="s">
        <v>159</v>
      </c>
      <c r="E23" s="3" t="s">
        <v>160</v>
      </c>
      <c r="F23" s="3" t="s">
        <v>161</v>
      </c>
      <c r="G23" s="5" t="s">
        <v>22</v>
      </c>
      <c r="H23" s="3" t="s">
        <v>57</v>
      </c>
      <c r="I23" s="3" t="s">
        <v>162</v>
      </c>
      <c r="J23" s="3"/>
      <c r="K23" s="3" t="s">
        <v>2</v>
      </c>
      <c r="L23" s="3"/>
      <c r="M23" s="3" t="s">
        <v>163</v>
      </c>
    </row>
    <row r="24" spans="1:13" ht="57.95" customHeight="1">
      <c r="A24" s="3" t="s">
        <v>164</v>
      </c>
      <c r="B24" s="3" t="s">
        <v>165</v>
      </c>
      <c r="C24" s="3" t="s">
        <v>43</v>
      </c>
      <c r="D24" s="3" t="s">
        <v>166</v>
      </c>
      <c r="E24" s="3" t="s">
        <v>167</v>
      </c>
      <c r="F24" s="3" t="s">
        <v>168</v>
      </c>
      <c r="G24" s="5" t="s">
        <v>19</v>
      </c>
      <c r="H24" s="3" t="s">
        <v>47</v>
      </c>
      <c r="I24" s="3" t="s">
        <v>169</v>
      </c>
      <c r="J24" s="3"/>
      <c r="K24" s="3" t="s">
        <v>87</v>
      </c>
      <c r="L24" s="3" t="s">
        <v>88</v>
      </c>
      <c r="M24" s="3" t="s">
        <v>170</v>
      </c>
    </row>
    <row r="25" spans="1:13" ht="57.95" customHeight="1">
      <c r="A25" s="3" t="s">
        <v>171</v>
      </c>
      <c r="B25" s="3" t="s">
        <v>172</v>
      </c>
      <c r="C25" s="3" t="s">
        <v>141</v>
      </c>
      <c r="D25" s="3" t="s">
        <v>173</v>
      </c>
      <c r="E25" s="3" t="s">
        <v>174</v>
      </c>
      <c r="F25" s="3" t="s">
        <v>175</v>
      </c>
      <c r="G25" s="5" t="s">
        <v>22</v>
      </c>
      <c r="H25" s="3" t="s">
        <v>57</v>
      </c>
      <c r="I25" s="3"/>
      <c r="J25" s="3"/>
      <c r="K25" s="3" t="s">
        <v>2</v>
      </c>
      <c r="L25" s="3"/>
      <c r="M25" s="3" t="s">
        <v>176</v>
      </c>
    </row>
    <row r="26" spans="1:13" ht="57.95" customHeight="1">
      <c r="A26" s="3" t="s">
        <v>177</v>
      </c>
      <c r="B26" s="3" t="s">
        <v>98</v>
      </c>
      <c r="C26" s="3" t="s">
        <v>125</v>
      </c>
      <c r="D26" s="3" t="s">
        <v>178</v>
      </c>
      <c r="E26" s="3" t="s">
        <v>19</v>
      </c>
      <c r="F26" s="3" t="s">
        <v>179</v>
      </c>
      <c r="G26" s="5" t="s">
        <v>22</v>
      </c>
      <c r="H26" s="3" t="s">
        <v>57</v>
      </c>
      <c r="I26" s="3"/>
      <c r="J26" s="3"/>
      <c r="K26" s="3" t="s">
        <v>2</v>
      </c>
      <c r="L26" s="3"/>
      <c r="M26" s="3" t="s">
        <v>180</v>
      </c>
    </row>
    <row r="27" spans="1:13" ht="57.95" customHeight="1">
      <c r="A27" s="3" t="s">
        <v>181</v>
      </c>
      <c r="B27" s="3" t="s">
        <v>42</v>
      </c>
      <c r="C27" s="3" t="s">
        <v>43</v>
      </c>
      <c r="D27" s="3" t="s">
        <v>182</v>
      </c>
      <c r="E27" s="3" t="s">
        <v>183</v>
      </c>
      <c r="F27" s="3" t="s">
        <v>184</v>
      </c>
      <c r="G27" s="5" t="s">
        <v>19</v>
      </c>
      <c r="H27" s="3" t="s">
        <v>47</v>
      </c>
      <c r="I27" s="3" t="s">
        <v>185</v>
      </c>
      <c r="J27" s="3"/>
      <c r="K27" s="3" t="s">
        <v>87</v>
      </c>
      <c r="L27" s="3" t="s">
        <v>88</v>
      </c>
      <c r="M27" s="3" t="s">
        <v>186</v>
      </c>
    </row>
    <row r="28" spans="1:13" ht="57.95" customHeight="1">
      <c r="A28" s="3" t="s">
        <v>187</v>
      </c>
      <c r="B28" s="3" t="s">
        <v>42</v>
      </c>
      <c r="C28" s="3" t="s">
        <v>43</v>
      </c>
      <c r="D28" s="3" t="s">
        <v>188</v>
      </c>
      <c r="E28" s="3" t="s">
        <v>189</v>
      </c>
      <c r="F28" s="3" t="s">
        <v>190</v>
      </c>
      <c r="G28" s="5" t="s">
        <v>20</v>
      </c>
      <c r="H28" s="3" t="s">
        <v>57</v>
      </c>
      <c r="I28" s="3" t="s">
        <v>191</v>
      </c>
      <c r="J28" s="3" t="s">
        <v>58</v>
      </c>
      <c r="K28" s="3" t="s">
        <v>2</v>
      </c>
      <c r="L28" s="3" t="s">
        <v>147</v>
      </c>
      <c r="M28" s="3"/>
    </row>
    <row r="29" spans="1:13" ht="57.95" customHeight="1">
      <c r="A29" s="3" t="s">
        <v>192</v>
      </c>
      <c r="B29" s="3" t="s">
        <v>42</v>
      </c>
      <c r="C29" s="3" t="s">
        <v>43</v>
      </c>
      <c r="D29" s="3" t="s">
        <v>193</v>
      </c>
      <c r="E29" s="3" t="s">
        <v>183</v>
      </c>
      <c r="F29" s="3" t="s">
        <v>194</v>
      </c>
      <c r="G29" s="5" t="s">
        <v>20</v>
      </c>
      <c r="H29" s="3" t="s">
        <v>57</v>
      </c>
      <c r="I29" s="3" t="s">
        <v>191</v>
      </c>
      <c r="J29" s="3" t="s">
        <v>95</v>
      </c>
      <c r="K29" s="3" t="s">
        <v>2</v>
      </c>
      <c r="L29" s="3" t="s">
        <v>147</v>
      </c>
      <c r="M29" s="3"/>
    </row>
    <row r="30" spans="1:13" ht="42" customHeight="1"/>
    <row r="31" spans="1:13" ht="42" customHeight="1"/>
    <row r="32" spans="1:13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</sheetData>
  <mergeCells count="1">
    <mergeCell ref="A2:M2"/>
  </mergeCells>
  <conditionalFormatting sqref="G5:G29">
    <cfRule type="containsText" dxfId="39" priority="1" operator="containsText" text="PASS"/>
    <cfRule type="containsText" dxfId="38" priority="2" operator="containsText" text="FAIL"/>
    <cfRule type="containsText" dxfId="37" priority="3" operator="containsText" text="BLOCKED"/>
    <cfRule type="containsText" dxfId="36" priority="4" operator="containsText" text="NOT RUN"/>
    <cfRule type="containsText" dxfId="35" priority="5" operator="containsText" text="OPEN"/>
    <cfRule type="containsText" dxfId="34" priority="6" operator="containsText" text="CLOSED"/>
  </conditionalFormatting>
  <conditionalFormatting sqref="H5:H29">
    <cfRule type="containsText" dxfId="33" priority="7" operator="containsText" text="Critical"/>
    <cfRule type="containsText" dxfId="32" priority="8" operator="containsText" text="High"/>
    <cfRule type="containsText" dxfId="31" priority="9" operator="containsText" text="Medium"/>
    <cfRule type="containsText" dxfId="30" priority="10" operator="containsText" text="Low"/>
  </conditionalFormatting>
  <dataValidations count="4">
    <dataValidation type="list" sqref="B5:B54" xr:uid="{00000000-0002-0000-0100-000000000000}">
      <formula1>"Secrets,PII,Access,Upload,Logs,AI Retention,Security Regression,Other"</formula1>
    </dataValidation>
    <dataValidation type="list" sqref="C5:C54" xr:uid="{00000000-0002-0000-0100-000001000000}">
      <formula1>"Manual,Automated,Review"</formula1>
    </dataValidation>
    <dataValidation type="list" sqref="G5:G54" xr:uid="{00000000-0002-0000-0100-000002000000}">
      <formula1>"PASS,FAIL,BLOCKED,NOT RUN"</formula1>
    </dataValidation>
    <dataValidation type="list" sqref="H5:H54" xr:uid="{00000000-0002-0000-0100-000003000000}">
      <formula1>"Critical,High,Medium,Low,N/A"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34"/>
  <sheetViews>
    <sheetView showGridLines="0" workbookViewId="0">
      <pane xSplit="1" ySplit="4" topLeftCell="B14" activePane="bottomRight" state="frozen"/>
      <selection pane="topRight"/>
      <selection pane="bottomLeft"/>
      <selection pane="bottomRight" activeCell="D21" sqref="A1:XFD1048576"/>
    </sheetView>
  </sheetViews>
  <sheetFormatPr defaultRowHeight="14.25"/>
  <cols>
    <col min="1" max="1" width="12" style="1" customWidth="1"/>
    <col min="2" max="2" width="34" style="1" customWidth="1"/>
    <col min="3" max="3" width="23" style="1" customWidth="1"/>
    <col min="4" max="4" width="31" style="1" customWidth="1"/>
    <col min="5" max="5" width="34" style="1" customWidth="1"/>
    <col min="6" max="7" width="12" style="1" customWidth="1"/>
    <col min="8" max="8" width="23" style="1" customWidth="1"/>
    <col min="9" max="9" width="16" style="1" customWidth="1"/>
    <col min="10" max="10" width="34" style="1" customWidth="1"/>
    <col min="11" max="11" width="9" style="1" customWidth="1"/>
    <col min="12" max="16384" width="9" style="1"/>
  </cols>
  <sheetData>
    <row r="1" spans="1:10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27.95" customHeight="1">
      <c r="A2" s="8" t="s">
        <v>195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3.950000000000003" customHeight="1">
      <c r="A4" s="7" t="s">
        <v>196</v>
      </c>
      <c r="B4" s="7" t="s">
        <v>197</v>
      </c>
      <c r="C4" s="7" t="s">
        <v>198</v>
      </c>
      <c r="D4" s="7" t="s">
        <v>199</v>
      </c>
      <c r="E4" s="7" t="s">
        <v>33</v>
      </c>
      <c r="F4" s="7" t="s">
        <v>34</v>
      </c>
      <c r="G4" s="7" t="s">
        <v>200</v>
      </c>
      <c r="H4" s="7" t="s">
        <v>36</v>
      </c>
      <c r="I4" s="7" t="s">
        <v>38</v>
      </c>
      <c r="J4" s="7" t="s">
        <v>40</v>
      </c>
    </row>
    <row r="5" spans="1:10" ht="57.95" customHeight="1">
      <c r="A5" s="3" t="s">
        <v>201</v>
      </c>
      <c r="B5" s="3" t="s">
        <v>202</v>
      </c>
      <c r="C5" s="3" t="s">
        <v>203</v>
      </c>
      <c r="D5" s="3" t="s">
        <v>204</v>
      </c>
      <c r="E5" s="3" t="s">
        <v>205</v>
      </c>
      <c r="F5" s="3" t="s">
        <v>22</v>
      </c>
      <c r="G5" s="3" t="s">
        <v>129</v>
      </c>
      <c r="H5" s="3"/>
      <c r="I5" s="3" t="s">
        <v>206</v>
      </c>
      <c r="J5" s="3" t="s">
        <v>207</v>
      </c>
    </row>
    <row r="6" spans="1:10" ht="57.95" customHeight="1">
      <c r="A6" s="3" t="s">
        <v>208</v>
      </c>
      <c r="B6" s="3" t="s">
        <v>209</v>
      </c>
      <c r="C6" s="3" t="s">
        <v>210</v>
      </c>
      <c r="D6" s="3" t="s">
        <v>211</v>
      </c>
      <c r="E6" s="3" t="s">
        <v>212</v>
      </c>
      <c r="F6" s="3" t="s">
        <v>22</v>
      </c>
      <c r="G6" s="3" t="s">
        <v>57</v>
      </c>
      <c r="H6" s="3" t="s">
        <v>213</v>
      </c>
      <c r="I6" s="3" t="s">
        <v>214</v>
      </c>
      <c r="J6" s="3" t="s">
        <v>215</v>
      </c>
    </row>
    <row r="7" spans="1:10" ht="57.95" customHeight="1">
      <c r="A7" s="3" t="s">
        <v>216</v>
      </c>
      <c r="B7" s="3" t="s">
        <v>217</v>
      </c>
      <c r="C7" s="3" t="s">
        <v>218</v>
      </c>
      <c r="D7" s="3" t="s">
        <v>219</v>
      </c>
      <c r="E7" s="3" t="s">
        <v>220</v>
      </c>
      <c r="F7" s="3" t="s">
        <v>20</v>
      </c>
      <c r="G7" s="3" t="s">
        <v>57</v>
      </c>
      <c r="H7" s="3" t="s">
        <v>221</v>
      </c>
      <c r="I7" s="3" t="s">
        <v>214</v>
      </c>
      <c r="J7" s="3" t="s">
        <v>222</v>
      </c>
    </row>
    <row r="8" spans="1:10" ht="57.95" customHeight="1">
      <c r="A8" s="3" t="s">
        <v>223</v>
      </c>
      <c r="B8" s="3" t="s">
        <v>224</v>
      </c>
      <c r="C8" s="3" t="s">
        <v>225</v>
      </c>
      <c r="D8" s="3" t="s">
        <v>226</v>
      </c>
      <c r="E8" s="3" t="s">
        <v>227</v>
      </c>
      <c r="F8" s="3" t="s">
        <v>20</v>
      </c>
      <c r="G8" s="3" t="s">
        <v>57</v>
      </c>
      <c r="H8" s="3" t="s">
        <v>228</v>
      </c>
      <c r="I8" s="3" t="s">
        <v>214</v>
      </c>
      <c r="J8" s="3" t="s">
        <v>229</v>
      </c>
    </row>
    <row r="9" spans="1:10" ht="57.95" customHeight="1">
      <c r="A9" s="3" t="s">
        <v>230</v>
      </c>
      <c r="B9" s="3" t="s">
        <v>231</v>
      </c>
      <c r="C9" s="3" t="s">
        <v>232</v>
      </c>
      <c r="D9" s="3" t="s">
        <v>233</v>
      </c>
      <c r="E9" s="3" t="s">
        <v>234</v>
      </c>
      <c r="F9" s="3" t="s">
        <v>20</v>
      </c>
      <c r="G9" s="3" t="s">
        <v>113</v>
      </c>
      <c r="H9" s="3" t="s">
        <v>235</v>
      </c>
      <c r="I9" s="3" t="s">
        <v>214</v>
      </c>
      <c r="J9" s="3" t="s">
        <v>236</v>
      </c>
    </row>
    <row r="10" spans="1:10" ht="57.95" customHeight="1">
      <c r="A10" s="3" t="s">
        <v>237</v>
      </c>
      <c r="B10" s="3" t="s">
        <v>238</v>
      </c>
      <c r="C10" s="3" t="s">
        <v>239</v>
      </c>
      <c r="D10" s="3" t="s">
        <v>240</v>
      </c>
      <c r="E10" s="3" t="s">
        <v>241</v>
      </c>
      <c r="F10" s="3" t="s">
        <v>22</v>
      </c>
      <c r="G10" s="3" t="s">
        <v>129</v>
      </c>
      <c r="H10" s="3"/>
      <c r="I10" s="3" t="s">
        <v>214</v>
      </c>
      <c r="J10" s="3" t="s">
        <v>242</v>
      </c>
    </row>
    <row r="11" spans="1:10" ht="57.95" customHeight="1">
      <c r="A11" s="3" t="s">
        <v>243</v>
      </c>
      <c r="B11" s="3" t="s">
        <v>244</v>
      </c>
      <c r="C11" s="3" t="s">
        <v>245</v>
      </c>
      <c r="D11" s="3" t="s">
        <v>246</v>
      </c>
      <c r="E11" s="3" t="s">
        <v>175</v>
      </c>
      <c r="F11" s="3" t="s">
        <v>22</v>
      </c>
      <c r="G11" s="3" t="s">
        <v>57</v>
      </c>
      <c r="H11" s="3"/>
      <c r="I11" s="3" t="s">
        <v>214</v>
      </c>
      <c r="J11" s="3" t="s">
        <v>247</v>
      </c>
    </row>
    <row r="12" spans="1:10" ht="57.95" customHeight="1">
      <c r="A12" s="3" t="s">
        <v>248</v>
      </c>
      <c r="B12" s="3" t="s">
        <v>249</v>
      </c>
      <c r="C12" s="3" t="s">
        <v>250</v>
      </c>
      <c r="D12" s="3" t="s">
        <v>251</v>
      </c>
      <c r="E12" s="3" t="s">
        <v>252</v>
      </c>
      <c r="F12" s="3" t="s">
        <v>22</v>
      </c>
      <c r="G12" s="3" t="s">
        <v>57</v>
      </c>
      <c r="H12" s="3"/>
      <c r="I12" s="3" t="s">
        <v>214</v>
      </c>
      <c r="J12" s="3" t="s">
        <v>253</v>
      </c>
    </row>
    <row r="13" spans="1:10" ht="42" customHeight="1"/>
    <row r="14" spans="1:10" ht="42" customHeight="1"/>
    <row r="15" spans="1:10" ht="42" customHeight="1"/>
    <row r="16" spans="1:10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  <row r="23" ht="42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</sheetData>
  <mergeCells count="1">
    <mergeCell ref="A2:J2"/>
  </mergeCells>
  <conditionalFormatting sqref="F5:F12">
    <cfRule type="containsText" dxfId="29" priority="1" operator="containsText" text="PASS"/>
    <cfRule type="containsText" dxfId="28" priority="2" operator="containsText" text="FAIL"/>
    <cfRule type="containsText" dxfId="27" priority="3" operator="containsText" text="BLOCKED"/>
    <cfRule type="containsText" dxfId="26" priority="4" operator="containsText" text="NOT RUN"/>
    <cfRule type="containsText" dxfId="25" priority="5" operator="containsText" text="OPEN"/>
    <cfRule type="containsText" dxfId="24" priority="6" operator="containsText" text="CLOSED"/>
  </conditionalFormatting>
  <conditionalFormatting sqref="G5:G12">
    <cfRule type="containsText" dxfId="23" priority="7" operator="containsText" text="Critical"/>
    <cfRule type="containsText" dxfId="22" priority="8" operator="containsText" text="High"/>
    <cfRule type="containsText" dxfId="21" priority="9" operator="containsText" text="Medium"/>
    <cfRule type="containsText" dxfId="20" priority="10" operator="containsText" text="Low"/>
  </conditionalFormatting>
  <dataValidations count="2">
    <dataValidation type="list" sqref="F5:F34" xr:uid="{00000000-0002-0000-0200-000000000000}">
      <formula1>"PASS,FAIL,BLOCKED,NOT RUN"</formula1>
    </dataValidation>
    <dataValidation type="list" sqref="G5:G34" xr:uid="{00000000-0002-0000-0200-000001000000}">
      <formula1>"Critical,High,Medium,Low,N/A"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</sheetPr>
  <dimension ref="A1:M24"/>
  <sheetViews>
    <sheetView showGridLines="0" workbookViewId="0">
      <pane xSplit="1" ySplit="4" topLeftCell="B8" activePane="bottomRight" state="frozen"/>
      <selection pane="topRight"/>
      <selection pane="bottomLeft"/>
      <selection pane="bottomRight" activeCell="C16" sqref="C16"/>
    </sheetView>
  </sheetViews>
  <sheetFormatPr defaultRowHeight="14.25"/>
  <cols>
    <col min="1" max="1" width="12" style="1" customWidth="1"/>
    <col min="2" max="2" width="18" style="1" customWidth="1"/>
    <col min="3" max="3" width="42" style="1" customWidth="1"/>
    <col min="4" max="5" width="14" style="1" customWidth="1"/>
    <col min="6" max="6" width="12" style="1" customWidth="1"/>
    <col min="7" max="7" width="13" style="1" customWidth="1"/>
    <col min="8" max="8" width="19" style="1" customWidth="1"/>
    <col min="9" max="11" width="14" style="1" customWidth="1"/>
    <col min="12" max="12" width="13" style="1" customWidth="1"/>
    <col min="13" max="13" width="32" style="1" customWidth="1"/>
    <col min="14" max="14" width="9" style="1" customWidth="1"/>
    <col min="15" max="16384" width="9" style="1"/>
  </cols>
  <sheetData>
    <row r="1" spans="1: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7.95" customHeight="1">
      <c r="A2" s="8" t="s">
        <v>254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3.950000000000003" customHeight="1">
      <c r="A4" s="7" t="s">
        <v>255</v>
      </c>
      <c r="B4" s="7" t="s">
        <v>256</v>
      </c>
      <c r="C4" s="7" t="s">
        <v>257</v>
      </c>
      <c r="D4" s="7" t="s">
        <v>258</v>
      </c>
      <c r="E4" s="7" t="s">
        <v>259</v>
      </c>
      <c r="F4" s="7" t="s">
        <v>200</v>
      </c>
      <c r="G4" s="7" t="s">
        <v>260</v>
      </c>
      <c r="H4" s="7" t="s">
        <v>38</v>
      </c>
      <c r="I4" s="7" t="s">
        <v>261</v>
      </c>
      <c r="J4" s="7" t="s">
        <v>262</v>
      </c>
      <c r="K4" s="7" t="s">
        <v>263</v>
      </c>
      <c r="L4" s="7" t="s">
        <v>34</v>
      </c>
      <c r="M4" s="7" t="s">
        <v>36</v>
      </c>
    </row>
    <row r="5" spans="1:13" ht="57.95" customHeight="1">
      <c r="A5" s="3" t="s">
        <v>58</v>
      </c>
      <c r="B5" s="3" t="s">
        <v>264</v>
      </c>
      <c r="C5" s="3" t="s">
        <v>265</v>
      </c>
      <c r="D5" s="3" t="s">
        <v>266</v>
      </c>
      <c r="E5" s="3" t="s">
        <v>129</v>
      </c>
      <c r="F5" s="3" t="s">
        <v>57</v>
      </c>
      <c r="G5" s="3" t="s">
        <v>267</v>
      </c>
      <c r="H5" s="3" t="s">
        <v>268</v>
      </c>
      <c r="I5" s="3"/>
      <c r="J5" s="3"/>
      <c r="K5" s="3"/>
      <c r="L5" s="3" t="s">
        <v>269</v>
      </c>
      <c r="M5" s="3" t="s">
        <v>228</v>
      </c>
    </row>
    <row r="6" spans="1:13" ht="57.95" customHeight="1">
      <c r="A6" s="3" t="s">
        <v>95</v>
      </c>
      <c r="B6" s="3" t="s">
        <v>270</v>
      </c>
      <c r="C6" s="3" t="s">
        <v>271</v>
      </c>
      <c r="D6" s="3" t="s">
        <v>266</v>
      </c>
      <c r="E6" s="3" t="s">
        <v>129</v>
      </c>
      <c r="F6" s="3" t="s">
        <v>57</v>
      </c>
      <c r="G6" s="3" t="s">
        <v>267</v>
      </c>
      <c r="H6" s="3" t="s">
        <v>272</v>
      </c>
      <c r="I6" s="3"/>
      <c r="J6" s="3"/>
      <c r="K6" s="3"/>
      <c r="L6" s="3" t="s">
        <v>269</v>
      </c>
      <c r="M6" s="3" t="s">
        <v>228</v>
      </c>
    </row>
    <row r="7" spans="1:13" ht="57.95" customHeight="1">
      <c r="A7" s="3" t="s">
        <v>114</v>
      </c>
      <c r="B7" s="3" t="s">
        <v>109</v>
      </c>
      <c r="C7" s="3" t="s">
        <v>273</v>
      </c>
      <c r="D7" s="3" t="s">
        <v>274</v>
      </c>
      <c r="E7" s="3" t="s">
        <v>57</v>
      </c>
      <c r="F7" s="3" t="s">
        <v>113</v>
      </c>
      <c r="G7" s="3" t="s">
        <v>275</v>
      </c>
      <c r="H7" s="3" t="s">
        <v>268</v>
      </c>
      <c r="I7" s="3"/>
      <c r="J7" s="3"/>
      <c r="K7" s="3"/>
      <c r="L7" s="3" t="s">
        <v>269</v>
      </c>
      <c r="M7" s="3" t="s">
        <v>228</v>
      </c>
    </row>
    <row r="8" spans="1:13" ht="57.95" customHeight="1">
      <c r="A8" s="3" t="s">
        <v>154</v>
      </c>
      <c r="B8" s="3" t="s">
        <v>276</v>
      </c>
      <c r="C8" s="3" t="s">
        <v>277</v>
      </c>
      <c r="D8" s="3" t="s">
        <v>266</v>
      </c>
      <c r="E8" s="3" t="s">
        <v>113</v>
      </c>
      <c r="F8" s="3" t="s">
        <v>113</v>
      </c>
      <c r="G8" s="3" t="s">
        <v>278</v>
      </c>
      <c r="H8" s="3" t="s">
        <v>279</v>
      </c>
      <c r="I8" s="3"/>
      <c r="J8" s="3"/>
      <c r="K8" s="3"/>
      <c r="L8" s="3" t="s">
        <v>269</v>
      </c>
      <c r="M8" s="3" t="s">
        <v>235</v>
      </c>
    </row>
    <row r="9" spans="1:13" ht="57.95" customHeight="1">
      <c r="A9" s="3" t="s">
        <v>146</v>
      </c>
      <c r="B9" s="3" t="s">
        <v>280</v>
      </c>
      <c r="C9" s="3" t="s">
        <v>281</v>
      </c>
      <c r="D9" s="3" t="s">
        <v>282</v>
      </c>
      <c r="E9" s="3" t="s">
        <v>57</v>
      </c>
      <c r="F9" s="3" t="s">
        <v>129</v>
      </c>
      <c r="G9" s="3" t="s">
        <v>267</v>
      </c>
      <c r="H9" s="3" t="s">
        <v>283</v>
      </c>
      <c r="I9" s="3"/>
      <c r="J9" s="3"/>
      <c r="K9" s="3"/>
      <c r="L9" s="3" t="s">
        <v>269</v>
      </c>
      <c r="M9" s="3" t="s">
        <v>284</v>
      </c>
    </row>
    <row r="10" spans="1:13" ht="57.95" customHeight="1">
      <c r="A10" s="3" t="s">
        <v>285</v>
      </c>
      <c r="B10" s="3" t="s">
        <v>123</v>
      </c>
      <c r="C10" s="3" t="s">
        <v>286</v>
      </c>
      <c r="D10" s="3" t="s">
        <v>282</v>
      </c>
      <c r="E10" s="3" t="s">
        <v>57</v>
      </c>
      <c r="F10" s="3" t="s">
        <v>129</v>
      </c>
      <c r="G10" s="3" t="s">
        <v>267</v>
      </c>
      <c r="H10" s="3" t="s">
        <v>268</v>
      </c>
      <c r="I10" s="3"/>
      <c r="J10" s="3"/>
      <c r="K10" s="3"/>
      <c r="L10" s="3" t="s">
        <v>269</v>
      </c>
      <c r="M10" s="3" t="s">
        <v>287</v>
      </c>
    </row>
    <row r="11" spans="1:13" ht="57.95" customHeight="1">
      <c r="A11" s="3" t="s">
        <v>288</v>
      </c>
      <c r="B11" s="3" t="s">
        <v>123</v>
      </c>
      <c r="C11" s="3" t="s">
        <v>289</v>
      </c>
      <c r="D11" s="3" t="s">
        <v>282</v>
      </c>
      <c r="E11" s="3" t="s">
        <v>57</v>
      </c>
      <c r="F11" s="3" t="s">
        <v>129</v>
      </c>
      <c r="G11" s="3" t="s">
        <v>267</v>
      </c>
      <c r="H11" s="3" t="s">
        <v>290</v>
      </c>
      <c r="I11" s="3"/>
      <c r="J11" s="3"/>
      <c r="K11" s="3"/>
      <c r="L11" s="3" t="s">
        <v>269</v>
      </c>
      <c r="M11" s="3" t="s">
        <v>291</v>
      </c>
    </row>
    <row r="12" spans="1:13" ht="57.95" customHeight="1">
      <c r="A12" s="3" t="s">
        <v>121</v>
      </c>
      <c r="B12" s="3" t="s">
        <v>116</v>
      </c>
      <c r="C12" s="3" t="s">
        <v>292</v>
      </c>
      <c r="D12" s="3" t="s">
        <v>266</v>
      </c>
      <c r="E12" s="3" t="s">
        <v>57</v>
      </c>
      <c r="F12" s="3" t="s">
        <v>129</v>
      </c>
      <c r="G12" s="3" t="s">
        <v>267</v>
      </c>
      <c r="H12" s="3" t="s">
        <v>268</v>
      </c>
      <c r="I12" s="3"/>
      <c r="J12" s="3"/>
      <c r="K12" s="3"/>
      <c r="L12" s="3" t="s">
        <v>269</v>
      </c>
      <c r="M12" s="3" t="s">
        <v>293</v>
      </c>
    </row>
    <row r="13" spans="1:13" ht="45" customHeight="1"/>
    <row r="14" spans="1:13" ht="45" customHeight="1"/>
    <row r="15" spans="1:13" ht="45" customHeight="1"/>
    <row r="16" spans="1:13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</sheetData>
  <mergeCells count="1">
    <mergeCell ref="A2:M2"/>
  </mergeCells>
  <conditionalFormatting sqref="F5:F9">
    <cfRule type="containsText" dxfId="19" priority="1" operator="containsText" text="Critical"/>
    <cfRule type="containsText" dxfId="18" priority="2" operator="containsText" text="High"/>
    <cfRule type="containsText" dxfId="17" priority="3" operator="containsText" text="Medium"/>
    <cfRule type="containsText" dxfId="16" priority="4" operator="containsText" text="Low"/>
  </conditionalFormatting>
  <conditionalFormatting sqref="L5:L9">
    <cfRule type="containsText" dxfId="15" priority="5" operator="containsText" text="PASS"/>
    <cfRule type="containsText" dxfId="14" priority="6" operator="containsText" text="FAIL"/>
    <cfRule type="containsText" dxfId="13" priority="7" operator="containsText" text="BLOCKED"/>
    <cfRule type="containsText" dxfId="12" priority="8" operator="containsText" text="NOT RUN"/>
    <cfRule type="containsText" dxfId="11" priority="9" operator="containsText" text="OPEN"/>
    <cfRule type="containsText" dxfId="10" priority="10" operator="containsText" text="CLOSED"/>
  </conditionalFormatting>
  <dataValidations count="5">
    <dataValidation type="list" sqref="D5:D24" xr:uid="{00000000-0002-0000-0300-000000000000}">
      <formula1>"Severe,Major,Moderate,Minor"</formula1>
    </dataValidation>
    <dataValidation type="list" sqref="E5:E24" xr:uid="{00000000-0002-0000-0300-000001000000}">
      <formula1>"High,Medium,Low"</formula1>
    </dataValidation>
    <dataValidation type="list" sqref="F5:F24" xr:uid="{00000000-0002-0000-0300-000002000000}">
      <formula1>"Critical,High,Medium,Low"</formula1>
    </dataValidation>
    <dataValidation type="list" sqref="G5:G24" xr:uid="{00000000-0002-0000-0300-000003000000}">
      <formula1>"FIX,MITIGATE,ACCEPT,AVOID,TRANSFER"</formula1>
    </dataValidation>
    <dataValidation type="list" sqref="L5:L24" xr:uid="{00000000-0002-0000-0300-000004000000}">
      <formula1>"OPEN,IN PROGRESS,CLOSED,ACCEPTED RISK"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D23" sqref="A1:XFD1048576"/>
    </sheetView>
  </sheetViews>
  <sheetFormatPr defaultRowHeight="14.25"/>
  <cols>
    <col min="1" max="1" width="12" style="1" customWidth="1"/>
    <col min="2" max="2" width="28" style="1" customWidth="1"/>
    <col min="3" max="3" width="31" style="1" customWidth="1"/>
    <col min="4" max="4" width="24" style="1" customWidth="1"/>
    <col min="5" max="5" width="34" style="1" customWidth="1"/>
    <col min="6" max="6" width="35" style="1" customWidth="1"/>
    <col min="7" max="9" width="12" style="1" customWidth="1"/>
    <col min="10" max="10" width="33" style="1" customWidth="1"/>
    <col min="11" max="11" width="19" style="1" customWidth="1"/>
    <col min="12" max="12" width="13" style="1" customWidth="1"/>
    <col min="13" max="13" width="9" style="1" customWidth="1"/>
    <col min="14" max="16384" width="9" style="1"/>
  </cols>
  <sheetData>
    <row r="1" spans="1:1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7.95" customHeight="1">
      <c r="A2" s="8" t="s">
        <v>294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3.950000000000003" customHeight="1">
      <c r="A4" s="7" t="s">
        <v>295</v>
      </c>
      <c r="B4" s="7" t="s">
        <v>296</v>
      </c>
      <c r="C4" s="7" t="s">
        <v>297</v>
      </c>
      <c r="D4" s="7" t="s">
        <v>298</v>
      </c>
      <c r="E4" s="7" t="s">
        <v>299</v>
      </c>
      <c r="F4" s="7" t="s">
        <v>300</v>
      </c>
      <c r="G4" s="7" t="s">
        <v>259</v>
      </c>
      <c r="H4" s="7" t="s">
        <v>258</v>
      </c>
      <c r="I4" s="7" t="s">
        <v>200</v>
      </c>
      <c r="J4" s="7" t="s">
        <v>301</v>
      </c>
      <c r="K4" s="7" t="s">
        <v>38</v>
      </c>
      <c r="L4" s="7" t="s">
        <v>34</v>
      </c>
    </row>
    <row r="5" spans="1:12" ht="57.95" customHeight="1">
      <c r="A5" s="3" t="s">
        <v>302</v>
      </c>
      <c r="B5" s="3" t="s">
        <v>303</v>
      </c>
      <c r="C5" s="3" t="s">
        <v>304</v>
      </c>
      <c r="D5" s="3" t="s">
        <v>232</v>
      </c>
      <c r="E5" s="3" t="s">
        <v>305</v>
      </c>
      <c r="F5" s="3" t="s">
        <v>306</v>
      </c>
      <c r="G5" s="3" t="s">
        <v>113</v>
      </c>
      <c r="H5" s="3" t="s">
        <v>266</v>
      </c>
      <c r="I5" s="3" t="s">
        <v>113</v>
      </c>
      <c r="J5" s="3" t="s">
        <v>307</v>
      </c>
      <c r="K5" s="3" t="s">
        <v>308</v>
      </c>
      <c r="L5" s="3" t="s">
        <v>269</v>
      </c>
    </row>
    <row r="6" spans="1:12" ht="57.95" customHeight="1">
      <c r="A6" s="3" t="s">
        <v>309</v>
      </c>
      <c r="B6" s="3" t="s">
        <v>310</v>
      </c>
      <c r="C6" s="3" t="s">
        <v>311</v>
      </c>
      <c r="D6" s="3" t="s">
        <v>312</v>
      </c>
      <c r="E6" s="3" t="s">
        <v>313</v>
      </c>
      <c r="F6" s="3" t="s">
        <v>314</v>
      </c>
      <c r="G6" s="3" t="s">
        <v>129</v>
      </c>
      <c r="H6" s="3" t="s">
        <v>266</v>
      </c>
      <c r="I6" s="3" t="s">
        <v>57</v>
      </c>
      <c r="J6" s="3" t="s">
        <v>315</v>
      </c>
      <c r="K6" s="3" t="s">
        <v>316</v>
      </c>
      <c r="L6" s="3" t="s">
        <v>269</v>
      </c>
    </row>
    <row r="7" spans="1:12" ht="57.95" customHeight="1">
      <c r="A7" s="3" t="s">
        <v>317</v>
      </c>
      <c r="B7" s="3" t="s">
        <v>318</v>
      </c>
      <c r="C7" s="3" t="s">
        <v>319</v>
      </c>
      <c r="D7" s="3" t="s">
        <v>320</v>
      </c>
      <c r="E7" s="3" t="s">
        <v>321</v>
      </c>
      <c r="F7" s="3" t="s">
        <v>322</v>
      </c>
      <c r="G7" s="3" t="s">
        <v>113</v>
      </c>
      <c r="H7" s="3" t="s">
        <v>323</v>
      </c>
      <c r="I7" s="3" t="s">
        <v>113</v>
      </c>
      <c r="J7" s="3" t="s">
        <v>324</v>
      </c>
      <c r="K7" s="3" t="s">
        <v>214</v>
      </c>
      <c r="L7" s="3" t="s">
        <v>269</v>
      </c>
    </row>
    <row r="8" spans="1:12" ht="57.95" customHeight="1">
      <c r="A8" s="3" t="s">
        <v>325</v>
      </c>
      <c r="B8" s="3" t="s">
        <v>326</v>
      </c>
      <c r="C8" s="3" t="s">
        <v>327</v>
      </c>
      <c r="D8" s="3" t="s">
        <v>328</v>
      </c>
      <c r="E8" s="3" t="s">
        <v>329</v>
      </c>
      <c r="F8" s="3" t="s">
        <v>330</v>
      </c>
      <c r="G8" s="3" t="s">
        <v>129</v>
      </c>
      <c r="H8" s="3" t="s">
        <v>266</v>
      </c>
      <c r="I8" s="3" t="s">
        <v>57</v>
      </c>
      <c r="J8" s="3" t="s">
        <v>331</v>
      </c>
      <c r="K8" s="3" t="s">
        <v>316</v>
      </c>
      <c r="L8" s="3" t="s">
        <v>269</v>
      </c>
    </row>
    <row r="9" spans="1:12" ht="57.95" customHeight="1">
      <c r="A9" s="3" t="s">
        <v>332</v>
      </c>
      <c r="B9" s="3" t="s">
        <v>333</v>
      </c>
      <c r="C9" s="3" t="s">
        <v>334</v>
      </c>
      <c r="D9" s="3" t="s">
        <v>335</v>
      </c>
      <c r="E9" s="3" t="s">
        <v>336</v>
      </c>
      <c r="F9" s="3" t="s">
        <v>337</v>
      </c>
      <c r="G9" s="3" t="s">
        <v>57</v>
      </c>
      <c r="H9" s="3" t="s">
        <v>323</v>
      </c>
      <c r="I9" s="3" t="s">
        <v>57</v>
      </c>
      <c r="J9" s="3" t="s">
        <v>338</v>
      </c>
      <c r="K9" s="3" t="s">
        <v>206</v>
      </c>
      <c r="L9" s="3" t="s">
        <v>269</v>
      </c>
    </row>
    <row r="10" spans="1:12" ht="57.95" customHeight="1">
      <c r="A10" s="3" t="s">
        <v>339</v>
      </c>
      <c r="B10" s="3" t="s">
        <v>340</v>
      </c>
      <c r="C10" s="3" t="s">
        <v>341</v>
      </c>
      <c r="D10" s="3" t="s">
        <v>342</v>
      </c>
      <c r="E10" s="3" t="s">
        <v>343</v>
      </c>
      <c r="F10" s="3" t="s">
        <v>344</v>
      </c>
      <c r="G10" s="3" t="s">
        <v>57</v>
      </c>
      <c r="H10" s="3" t="s">
        <v>282</v>
      </c>
      <c r="I10" s="3" t="s">
        <v>129</v>
      </c>
      <c r="J10" s="3" t="s">
        <v>345</v>
      </c>
      <c r="K10" s="3" t="s">
        <v>346</v>
      </c>
      <c r="L10" s="3" t="s">
        <v>269</v>
      </c>
    </row>
    <row r="11" spans="1:12" ht="57.95" customHeight="1">
      <c r="A11" s="3" t="s">
        <v>347</v>
      </c>
      <c r="B11" s="3" t="s">
        <v>348</v>
      </c>
      <c r="C11" s="3" t="s">
        <v>349</v>
      </c>
      <c r="D11" s="3" t="s">
        <v>350</v>
      </c>
      <c r="E11" s="3" t="s">
        <v>351</v>
      </c>
      <c r="F11" s="3" t="s">
        <v>352</v>
      </c>
      <c r="G11" s="3" t="s">
        <v>57</v>
      </c>
      <c r="H11" s="3" t="s">
        <v>323</v>
      </c>
      <c r="I11" s="3" t="s">
        <v>57</v>
      </c>
      <c r="J11" s="3" t="s">
        <v>353</v>
      </c>
      <c r="K11" s="3" t="s">
        <v>316</v>
      </c>
      <c r="L11" s="3" t="s">
        <v>269</v>
      </c>
    </row>
    <row r="12" spans="1:12" ht="57.95" customHeight="1">
      <c r="A12" s="3" t="s">
        <v>354</v>
      </c>
      <c r="B12" s="3" t="s">
        <v>355</v>
      </c>
      <c r="C12" s="3" t="s">
        <v>356</v>
      </c>
      <c r="D12" s="3" t="s">
        <v>357</v>
      </c>
      <c r="E12" s="3" t="s">
        <v>351</v>
      </c>
      <c r="F12" s="3" t="s">
        <v>175</v>
      </c>
      <c r="G12" s="3" t="s">
        <v>57</v>
      </c>
      <c r="H12" s="3" t="s">
        <v>323</v>
      </c>
      <c r="I12" s="3" t="s">
        <v>57</v>
      </c>
      <c r="J12" s="3" t="s">
        <v>358</v>
      </c>
      <c r="K12" s="3" t="s">
        <v>214</v>
      </c>
      <c r="L12" s="3" t="s">
        <v>269</v>
      </c>
    </row>
    <row r="13" spans="1:12" ht="45" customHeight="1"/>
    <row r="14" spans="1:12" ht="45" customHeight="1"/>
    <row r="15" spans="1:12" ht="45" customHeight="1"/>
    <row r="16" spans="1:12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</sheetData>
  <mergeCells count="1">
    <mergeCell ref="A2:L2"/>
  </mergeCells>
  <conditionalFormatting sqref="I5:I12">
    <cfRule type="containsText" dxfId="9" priority="1" operator="containsText" text="Critical"/>
    <cfRule type="containsText" dxfId="8" priority="2" operator="containsText" text="High"/>
    <cfRule type="containsText" dxfId="7" priority="3" operator="containsText" text="Medium"/>
    <cfRule type="containsText" dxfId="6" priority="4" operator="containsText" text="Low"/>
  </conditionalFormatting>
  <conditionalFormatting sqref="L5:L12">
    <cfRule type="containsText" dxfId="5" priority="5" operator="containsText" text="PASS"/>
    <cfRule type="containsText" dxfId="4" priority="6" operator="containsText" text="FAIL"/>
    <cfRule type="containsText" dxfId="3" priority="7" operator="containsText" text="BLOCKED"/>
    <cfRule type="containsText" dxfId="2" priority="8" operator="containsText" text="NOT RUN"/>
    <cfRule type="containsText" dxfId="1" priority="9" operator="containsText" text="OPEN"/>
    <cfRule type="containsText" dxfId="0" priority="10" operator="containsText" text="CLOSED"/>
  </conditionalFormatting>
  <dataValidations count="4">
    <dataValidation type="list" sqref="G5:G24" xr:uid="{00000000-0002-0000-0400-000000000000}">
      <formula1>"High,Medium,Low"</formula1>
    </dataValidation>
    <dataValidation type="list" sqref="H5:H24" xr:uid="{00000000-0002-0000-0400-000001000000}">
      <formula1>"Severe,Major,Moderate,Minor"</formula1>
    </dataValidation>
    <dataValidation type="list" sqref="I5:I24" xr:uid="{00000000-0002-0000-0400-000002000000}">
      <formula1>"Critical,High,Medium,Low"</formula1>
    </dataValidation>
    <dataValidation type="list" sqref="L5:L24" xr:uid="{00000000-0002-0000-0400-000003000000}">
      <formula1>"OPEN,IN PROGRESS,CLOSED,ACCEPTED RISK"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Ket qua test</vt:lpstr>
      <vt:lpstr>Privacy Checklist</vt:lpstr>
      <vt:lpstr>Risk Log</vt:lpstr>
      <vt:lpstr>Threat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2026-10-16T07:44:45Z</dcterms:modified>
</cp:coreProperties>
</file>