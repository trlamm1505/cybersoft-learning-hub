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\QA AUTOMATION\"/>
    </mc:Choice>
  </mc:AlternateContent>
  <xr:revisionPtr revIDLastSave="0" documentId="8_{C424C619-C3DA-4BE6-A3D0-030A4C3EBF7C}" xr6:coauthVersionLast="47" xr6:coauthVersionMax="47" xr10:uidLastSave="{00000000-0000-0000-0000-000000000000}"/>
  <bookViews>
    <workbookView xWindow="-120" yWindow="-120" windowWidth="29040" windowHeight="15720" activeTab="2" xr2:uid="{394790AF-A8C1-465A-9DC8-58E0DC99D6F9}"/>
  </bookViews>
  <sheets>
    <sheet name="actor" sheetId="1" r:id="rId1"/>
    <sheet name="02_User_Journeys" sheetId="3" r:id="rId2"/>
    <sheet name="03_Risk_Register" sheetId="4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4" l="1"/>
  <c r="G23" i="4"/>
  <c r="F13" i="4"/>
  <c r="G13" i="4" s="1"/>
  <c r="F24" i="4"/>
  <c r="G24" i="4" s="1"/>
  <c r="F20" i="4"/>
  <c r="G20" i="4"/>
  <c r="F8" i="4"/>
  <c r="G8" i="4" s="1"/>
  <c r="F7" i="4"/>
  <c r="G7" i="4" s="1"/>
  <c r="F22" i="4"/>
  <c r="G22" i="4" s="1"/>
  <c r="F21" i="4"/>
  <c r="G21" i="4" s="1"/>
  <c r="F18" i="4"/>
  <c r="G18" i="4" s="1"/>
  <c r="F17" i="4"/>
  <c r="G17" i="4" s="1"/>
  <c r="F12" i="4"/>
  <c r="G12" i="4" s="1"/>
  <c r="F11" i="4"/>
  <c r="G11" i="4" s="1"/>
  <c r="F19" i="4"/>
  <c r="G19" i="4" s="1"/>
  <c r="F10" i="4"/>
  <c r="G10" i="4" s="1"/>
  <c r="F16" i="4"/>
  <c r="G16" i="4" s="1"/>
  <c r="F15" i="4"/>
  <c r="G15" i="4" s="1"/>
  <c r="F14" i="4"/>
  <c r="G14" i="4" s="1"/>
  <c r="F6" i="4"/>
  <c r="G6" i="4" s="1"/>
  <c r="F5" i="4"/>
  <c r="G5" i="4" s="1"/>
  <c r="F9" i="4"/>
  <c r="G9" i="4" s="1"/>
  <c r="F4" i="4"/>
  <c r="G4" i="4" s="1"/>
  <c r="F3" i="4"/>
  <c r="G3" i="4" s="1"/>
  <c r="F2" i="4"/>
  <c r="G2" i="4" s="1"/>
</calcChain>
</file>

<file path=xl/sharedStrings.xml><?xml version="1.0" encoding="utf-8"?>
<sst xmlns="http://schemas.openxmlformats.org/spreadsheetml/2006/main" count="352" uniqueCount="227">
  <si>
    <t>Học viên</t>
  </si>
  <si>
    <t>Admin</t>
  </si>
  <si>
    <t>Phụ huynh</t>
  </si>
  <si>
    <t>Khách chưa đăng nhập</t>
  </si>
  <si>
    <t>Journey ID</t>
  </si>
  <si>
    <t>Actor</t>
  </si>
  <si>
    <t>Hoạt động</t>
  </si>
  <si>
    <t>Các bước chính</t>
  </si>
  <si>
    <t>Kết quả mong đợi</t>
  </si>
  <si>
    <t>UJ-HV-01</t>
  </si>
  <si>
    <t>Đăng nhập</t>
  </si>
  <si>
    <t>General</t>
  </si>
  <si>
    <t>Actor ID</t>
  </si>
  <si>
    <t>Mô tả ngắn</t>
  </si>
  <si>
    <t>Mục tiêu chính</t>
  </si>
  <si>
    <t>ACT-01</t>
  </si>
  <si>
    <t>Người tham gia học tập trên hệ thống</t>
  </si>
  <si>
    <t>Học bài, làm bài, xem kết quả</t>
  </si>
  <si>
    <t>ACT-02</t>
  </si>
  <si>
    <t>Giảng viên</t>
  </si>
  <si>
    <t>Người phụ trách giảng dạy và nội dung</t>
  </si>
  <si>
    <t>Theo dõi lớp, học liệu và kết quả</t>
  </si>
  <si>
    <t>ACT-03</t>
  </si>
  <si>
    <t>Người quản trị hệ thống</t>
  </si>
  <si>
    <t>Quản lý tài khoản, quyền và tài nguyên</t>
  </si>
  <si>
    <t>ACT-04</t>
  </si>
  <si>
    <t>Người theo dõi việc học của học viên</t>
  </si>
  <si>
    <t>Theo dõi tiến độ/kết quả nếu hệ thống hỗ trợ</t>
  </si>
  <si>
    <t>ACT-05</t>
  </si>
  <si>
    <t>Người chưa có phiên đăng nhập</t>
  </si>
  <si>
    <t>Xem phần công khai / đi tới đăng nhập</t>
  </si>
  <si>
    <t>Nhóm / Domain</t>
  </si>
  <si>
    <t>1. Mở trang đăng nhập
2. Nhập email và mật khẩu
3. Chọn Đăng nhập</t>
  </si>
  <si>
    <t>Đăng nhập thành công và vào đúng khu vực Học viên</t>
  </si>
  <si>
    <t>UJ-HV-02</t>
  </si>
  <si>
    <t>Xem khóa học</t>
  </si>
  <si>
    <t>1. Đăng nhập
2. Mở danh sách khóa học
3. Chọn khóa học</t>
  </si>
  <si>
    <t>Hiển thị đúng khóa học mà học viên được truy cập</t>
  </si>
  <si>
    <t>UJ-HV-03</t>
  </si>
  <si>
    <t>Xem bài học</t>
  </si>
  <si>
    <t>1. Chọn khóa học
2. Chọn chương
3. Chọn bài học</t>
  </si>
  <si>
    <t>Nội dung bài học hiển thị đúng và đầy đủ</t>
  </si>
  <si>
    <t>UJ-HV-04</t>
  </si>
  <si>
    <t>Làm bài Quiz</t>
  </si>
  <si>
    <t>1. Mở Quiz
2. Chọn đáp án
3. Nhấn Submit</t>
  </si>
  <si>
    <t>Bài làm được ghi nhận và kết quả được xử lý đúng</t>
  </si>
  <si>
    <t>UJ-HV-05</t>
  </si>
  <si>
    <t>Nộp bài Coding</t>
  </si>
  <si>
    <t>1. Mở bài Coding
2. Nhập code
3. Chạy thử
4. Nhấn Submit</t>
  </si>
  <si>
    <t>Code được ghi nhận và hệ thống trả kết quả đánh giá</t>
  </si>
  <si>
    <t>UJ-HV-06</t>
  </si>
  <si>
    <t>Xem kết quả</t>
  </si>
  <si>
    <t>1. Mở bài đã nộp
2. Chọn xem kết quả</t>
  </si>
  <si>
    <t>Hiển thị đúng điểm/kết quả của chính học viên</t>
  </si>
  <si>
    <t>UJ-HV-07</t>
  </si>
  <si>
    <t>AI</t>
  </si>
  <si>
    <t>Sử dụng AI Coach</t>
  </si>
  <si>
    <t>1. Mở AI Coach
2. Nhập câu hỏi
3. Gửi câu hỏi</t>
  </si>
  <si>
    <t>AI trả lời phù hợp với nội dung/context được phép</t>
  </si>
  <si>
    <t>UJ-HV-08</t>
  </si>
  <si>
    <t>Data</t>
  </si>
  <si>
    <t>Học nội dung Data</t>
  </si>
  <si>
    <t>1. Chọn khóa/nội dung Data
2. Chọn bài học
3. Xem nội dung</t>
  </si>
  <si>
    <t>Nội dung Data được hiển thị đúng</t>
  </si>
  <si>
    <t>UJ-HV-09</t>
  </si>
  <si>
    <t>Tester</t>
  </si>
  <si>
    <t>Học nội dung Tester</t>
  </si>
  <si>
    <t>1. Chọn khóa Tester
2. Chọn bài học
3. Xem nội dung</t>
  </si>
  <si>
    <t>Nội dung Tester được hiển thị đúng</t>
  </si>
  <si>
    <t>UJ-HV-10</t>
  </si>
  <si>
    <t>K3-12</t>
  </si>
  <si>
    <t>Học nội dung K3-12</t>
  </si>
  <si>
    <t>1. Chọn khóa K3-12
2. Chọn bài học
3. Xem nội dung</t>
  </si>
  <si>
    <t>Nội dung hiển thị đúng cho đối tượng học viên K3-12</t>
  </si>
  <si>
    <t>UJ-GV-01</t>
  </si>
  <si>
    <t>1. Mở trang đăng nhập
2. Nhập tài khoản
3. Đăng nhập</t>
  </si>
  <si>
    <t>Vào đúng khu vực Giảng viên</t>
  </si>
  <si>
    <t>UJ-GV-02</t>
  </si>
  <si>
    <t>Xem lớp/khóa phụ trách</t>
  </si>
  <si>
    <t>1. Đăng nhập
2. Mở lớp/khóa học
3. Chọn lớp</t>
  </si>
  <si>
    <t>Hiển thị đúng lớp/khóa mà giảng viên được phân công</t>
  </si>
  <si>
    <t>UJ-GV-03</t>
  </si>
  <si>
    <t>Xem bài nộp học viên</t>
  </si>
  <si>
    <t>1. Chọn lớp
2. Chọn bài tập
3. Mở danh sách submission</t>
  </si>
  <si>
    <t>Hiển thị đúng bài nộp của học viên</t>
  </si>
  <si>
    <t>UJ-GV-04</t>
  </si>
  <si>
    <t>Xem kết quả học viên</t>
  </si>
  <si>
    <t>1. Chọn lớp/học viên
2. Mở kết quả</t>
  </si>
  <si>
    <t>Hiển thị đúng điểm và kết quả</t>
  </si>
  <si>
    <t>UJ-GV-05</t>
  </si>
  <si>
    <t>Review học liệu</t>
  </si>
  <si>
    <t>1. Mở học liệu
2. Kiểm tra nội dung
3. Chuyển trạng thái review nếu đạt</t>
  </si>
  <si>
    <t>Học liệu được review và trạng thái được cập nhật đúng</t>
  </si>
  <si>
    <t>UJ-GV-06</t>
  </si>
  <si>
    <t>Review Quiz</t>
  </si>
  <si>
    <t>1. Mở Quiz
2. Kiểm tra câu hỏi/đáp án
3. Xác nhận review</t>
  </si>
  <si>
    <t>Quiz được review đúng trước khi publish</t>
  </si>
  <si>
    <t>UJ-AD-01</t>
  </si>
  <si>
    <t>Đăng nhập Admin</t>
  </si>
  <si>
    <t>1. Mở trang đăng nhập
2. Nhập tài khoản Admin
3. Đăng nhập</t>
  </si>
  <si>
    <t>Vào đúng khu vực quản trị</t>
  </si>
  <si>
    <t>UJ-AD-02</t>
  </si>
  <si>
    <t>Quản lý tài khoản</t>
  </si>
  <si>
    <t>1. Mở danh sách user
2. Chọn user
3. Thực hiện cập nhật cần thiết</t>
  </si>
  <si>
    <t>Thông tin tài khoản được cập nhật đúng</t>
  </si>
  <si>
    <t>UJ-AD-03</t>
  </si>
  <si>
    <t>Quản lý quyền</t>
  </si>
  <si>
    <t>1. Chọn user
2. Chọn role/quyền
3. Lưu thay đổi</t>
  </si>
  <si>
    <t>Quyền truy cập được cập nhật đúng</t>
  </si>
  <si>
    <t>UJ-AD-04</t>
  </si>
  <si>
    <t>Quản lý khóa học/tài nguyên</t>
  </si>
  <si>
    <t>1. Mở danh sách tài nguyên
2. Chọn tài nguyên
3. Thực hiện thao tác quản lý</t>
  </si>
  <si>
    <t>Dữ liệu tài nguyên được cập nhật đúng</t>
  </si>
  <si>
    <t>UJ-PH-01</t>
  </si>
  <si>
    <t>Vào đúng khu vực Phụ huynh nếu hệ thống có hỗ trợ</t>
  </si>
  <si>
    <t>UJ-PH-02</t>
  </si>
  <si>
    <t>1. Chọn học viên liên kết
2. Mở tiến độ</t>
  </si>
  <si>
    <t>Chỉ hiển thị tiến độ của học viên được phép theo dõi</t>
  </si>
  <si>
    <t>UJ-KH-01</t>
  </si>
  <si>
    <t>1. Truy cập website
2. Xem nội dung công khai</t>
  </si>
  <si>
    <t>Trang công khai hiển thị bình thường</t>
  </si>
  <si>
    <t>UJ-KH-02</t>
  </si>
  <si>
    <t>Đi tới trang đăng nhập</t>
  </si>
  <si>
    <t>1. Từ trang công khai chọn Đăng nhập</t>
  </si>
  <si>
    <t>Hiển thị đúng trang đăng nhập</t>
  </si>
  <si>
    <t>UJ-KH-03</t>
  </si>
  <si>
    <t>Thử truy cập trang cần đăng nhập</t>
  </si>
  <si>
    <t>1. Mở URL/tài nguyên yêu cầu đăng nhập</t>
  </si>
  <si>
    <t>Hệ thống từ chối truy cập hoặc yêu cầu đăng nhập</t>
  </si>
  <si>
    <t xml:space="preserve">Đăng nhập </t>
  </si>
  <si>
    <t>Category</t>
  </si>
  <si>
    <t>Risk Description</t>
  </si>
  <si>
    <t>Risk Score</t>
  </si>
  <si>
    <t>Priority</t>
  </si>
  <si>
    <t>Signal</t>
  </si>
  <si>
    <t>Mitigation</t>
  </si>
  <si>
    <t>Security</t>
  </si>
  <si>
    <t>Đăng nhập sai nhưng vẫn được cấp phiên truy cập</t>
  </si>
  <si>
    <t>QA/Security</t>
  </si>
  <si>
    <t>Học viên được cấp sai role/quyền sau đăng nhập</t>
  </si>
  <si>
    <t>Học viên thấy chức năng Admin/Giảng viên</t>
  </si>
  <si>
    <t>Hiển thị khóa học không thuộc học viên</t>
  </si>
  <si>
    <t>Backend/QA</t>
  </si>
  <si>
    <t>Content</t>
  </si>
  <si>
    <t>Bài học thiếu nội dung/link hỏng</t>
  </si>
  <si>
    <t>Content/QA</t>
  </si>
  <si>
    <t>Link lỗi, phần nội dung trống</t>
  </si>
  <si>
    <t>Submit Quiz thành công nhưng bài làm không được lưu</t>
  </si>
  <si>
    <t>Code</t>
  </si>
  <si>
    <t>Hệ thống chấm sai điểm Quiz</t>
  </si>
  <si>
    <t>Học viên xem được đáp án trước khi hoàn thành Quiz</t>
  </si>
  <si>
    <t>Hidden test bị lộ cho học viên</t>
  </si>
  <si>
    <t>Response/log chứa hidden test</t>
  </si>
  <si>
    <t>Privacy</t>
  </si>
  <si>
    <t>Học viên A xem kết quả của học viên B</t>
  </si>
  <si>
    <t>AI/QA</t>
  </si>
  <si>
    <t>AI/Security</t>
  </si>
  <si>
    <t>Học viên không biết kết quả đúng</t>
  </si>
  <si>
    <t>UX</t>
  </si>
  <si>
    <t>Nội dung K3-12 khó sử dụng trên thiết bị nhỏ</t>
  </si>
  <si>
    <t>Frontend/QA</t>
  </si>
  <si>
    <t>AI trả nội dung không phù hợp đối tượng trẻ nhỏ</t>
  </si>
  <si>
    <t>Học liệu chưa review vẫn được publish</t>
  </si>
  <si>
    <t>Product/QA</t>
  </si>
  <si>
    <t>Quiz có answer key sai/duplicate/empty</t>
  </si>
  <si>
    <t>Admin thao tác nhầm/xóa tài khoản quan trọng</t>
  </si>
  <si>
    <t>Admin/QA</t>
  </si>
  <si>
    <t>Account bị disable/delete sai</t>
  </si>
  <si>
    <t>Phân quyền sai làm user truy cập trái phép</t>
  </si>
  <si>
    <t>Admin/Security</t>
  </si>
  <si>
    <t>Khách chưa đăng nhập truy cập được tài nguyên bảo vệ</t>
  </si>
  <si>
    <t>Protected URL trả 200/content</t>
  </si>
  <si>
    <t>Bài học tải chậm gây trải nghiệm kém</t>
  </si>
  <si>
    <t>Xem tiến độ học viên</t>
  </si>
  <si>
    <t>Xem trang công khai</t>
  </si>
  <si>
    <t>User sai thông tin xác thực( sai mật khẩu, sai tài khoản sai) vẫn vào hệ thống</t>
  </si>
  <si>
    <t>tester phải kiểm thử lại</t>
  </si>
  <si>
    <t>thuật ngữ không nhất quán</t>
  </si>
  <si>
    <t>điểm thực tế khác đáp án chuẩn</t>
  </si>
  <si>
    <t>Lộ đáp án trước khi submit</t>
  </si>
  <si>
    <t>truy cập thấy kết quả sai so với kết quả của mình</t>
  </si>
  <si>
    <t>AI Coach trích dẫn sai</t>
  </si>
  <si>
    <t>Nội dung đưa ra bất thương</t>
  </si>
  <si>
    <t xml:space="preserve">UI vỡ hoặc khó thao tác </t>
  </si>
  <si>
    <t>Nội dung không an toàn cho trẻ em</t>
  </si>
  <si>
    <t>Ánh xạ mã khóa học/người dùng không chính xác</t>
  </si>
  <si>
    <t>Không có bài nộp hoặc dữ liệu bài nộp bị mất</t>
  </si>
  <si>
    <t>Thời gian tải trang hoặc độ trễ vượt quá mức tiêu chuẩn</t>
  </si>
  <si>
    <t>phân quyền sai so với người dùng</t>
  </si>
  <si>
    <t>Bộ kiểm tra đưa ra cảnh báo hoặc kết quả chấm điểm bất thường</t>
  </si>
  <si>
    <t>Bản nháp chuyển thẳng sang trạng thái đã xuất bản</t>
  </si>
  <si>
    <t>UJ-GV-07</t>
  </si>
  <si>
    <t>File học liệu (Markdown/JSON) bị sai định dạng làm hỏng giao diện bài học</t>
  </si>
  <si>
    <t>Nội dung file bị sai định dạng lỗi font chưa</t>
  </si>
  <si>
    <t>UJ-HV-11</t>
  </si>
  <si>
    <t>AI Coach trả lời bằng ngôn ngữ độc hại nhảy cảm không phù hợp với lứa tuổi k3-12</t>
  </si>
  <si>
    <t xml:space="preserve">&gt;=20 </t>
  </si>
  <si>
    <t>critical</t>
  </si>
  <si>
    <t>15-19</t>
  </si>
  <si>
    <t>high</t>
  </si>
  <si>
    <t>8-&gt;14</t>
  </si>
  <si>
    <t>medium</t>
  </si>
  <si>
    <t>&lt;8</t>
  </si>
  <si>
    <t>Low</t>
  </si>
  <si>
    <t>AI đưa ra những nội dung không phù hợp với độ tuổi của học viên</t>
  </si>
  <si>
    <t>thêm bảo mật or thêm các bước xác nhận để xóa</t>
  </si>
  <si>
    <t>UJ-HV-12</t>
  </si>
  <si>
    <t>AI Coach phản hồi quá chậm (&gt; 10-15 giây) khiến giao diện người dùng bị treo hoặc treo luồng Chat</t>
  </si>
  <si>
    <t>Rank</t>
  </si>
  <si>
    <t>Risk ID</t>
  </si>
  <si>
    <t>Probability</t>
  </si>
  <si>
    <t>Impact</t>
  </si>
  <si>
    <t>Score</t>
  </si>
  <si>
    <t>Lý do ưu tiên</t>
  </si>
  <si>
    <t>AI đưa ra phản hồi quá chậm</t>
  </si>
  <si>
    <t>Category( loại)</t>
  </si>
  <si>
    <t>Probability(Mức độ thể xảy ra)
(1-5)</t>
  </si>
  <si>
    <t>Impact(Mức độ ảnh hưởng)
(1-5)</t>
  </si>
  <si>
    <t>Priority( Mức độ ưu tiên)</t>
  </si>
  <si>
    <t>Owner( Người chịu trách nhiệm)</t>
  </si>
  <si>
    <t>Nội dung Data sai thuật ngữ hoặc sai điều kiện kiên quyết</t>
  </si>
  <si>
    <t>Nội dung Tester có ví dụ mơ hồ/không cụ thể</t>
  </si>
  <si>
    <t>Hiếm (Rare): Rất ít khi xảy ra, chỉ xuất hiện trong điều kiện cực kỳ bất thường</t>
  </si>
  <si>
    <t>Khó xảy ra (Unlikely): Có thể xảy ra nhưng chưa từng ghi nhận trong quá khứ gần (xác suất 5% - 20%).</t>
  </si>
  <si>
    <t>Thỉnh thoảng (Possible): Có khả năng xảy ra đôi lần trong vòng đời hệ thống</t>
  </si>
  <si>
    <t>Dễ xảy ra (Likely): Thường xuyên xảy ra đối với các hệ thống tương tự hoặc định kỳ (xác suất 50% - 80%).</t>
  </si>
  <si>
    <t>Rất dễ xảy ra (Almost Certain): Hầu như chắc chắn xảy ra hoặc sự việc đang diễn ra liên tục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</si>
</sst>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" fontId="0" fillId="0" borderId="0" xfId="0" applyNumberFormat="1"/>
  </cellXfs>
  <cellStyles count="1">
    <cellStyle name="Normal" xfId="0" builtinId="0"/>
  </cellStyles>
  <dxfs count="6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4DF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08D5-6FA0-4DEB-B887-36A98E721674}">
  <dimension ref="A1:D7"/>
  <sheetViews>
    <sheetView workbookViewId="0">
      <selection activeCell="G2" sqref="G2"/>
    </sheetView>
  </sheetViews>
  <sheetFormatPr defaultRowHeight="15"/>
  <cols>
    <col min="1" max="1" width="28.140625" customWidth="1"/>
    <col min="2" max="2" width="43.7109375" customWidth="1"/>
    <col min="3" max="3" width="29.42578125" customWidth="1"/>
    <col min="4" max="4" width="38.28515625" customWidth="1"/>
  </cols>
  <sheetData>
    <row r="1" spans="1:4" ht="45">
      <c r="A1" s="2" t="s">
        <v>12</v>
      </c>
      <c r="B1" s="2" t="s">
        <v>5</v>
      </c>
      <c r="C1" s="2" t="s">
        <v>13</v>
      </c>
      <c r="D1" s="2" t="s">
        <v>14</v>
      </c>
    </row>
    <row r="2" spans="1:4" ht="75">
      <c r="A2" s="3" t="s">
        <v>15</v>
      </c>
      <c r="B2" s="3" t="s">
        <v>0</v>
      </c>
      <c r="C2" s="3" t="s">
        <v>16</v>
      </c>
      <c r="D2" s="3" t="s">
        <v>17</v>
      </c>
    </row>
    <row r="3" spans="1:4" ht="90">
      <c r="A3" s="3" t="s">
        <v>18</v>
      </c>
      <c r="B3" s="3" t="s">
        <v>19</v>
      </c>
      <c r="C3" s="3" t="s">
        <v>20</v>
      </c>
      <c r="D3" s="3" t="s">
        <v>21</v>
      </c>
    </row>
    <row r="4" spans="1:4" ht="90">
      <c r="A4" s="3" t="s">
        <v>22</v>
      </c>
      <c r="B4" s="3" t="s">
        <v>1</v>
      </c>
      <c r="C4" s="3" t="s">
        <v>23</v>
      </c>
      <c r="D4" s="3" t="s">
        <v>24</v>
      </c>
    </row>
    <row r="5" spans="1:4" ht="90">
      <c r="A5" s="3" t="s">
        <v>25</v>
      </c>
      <c r="B5" s="3" t="s">
        <v>2</v>
      </c>
      <c r="C5" s="3" t="s">
        <v>26</v>
      </c>
      <c r="D5" s="3" t="s">
        <v>27</v>
      </c>
    </row>
    <row r="6" spans="1:4" ht="90">
      <c r="A6" s="3" t="s">
        <v>28</v>
      </c>
      <c r="B6" s="3" t="s">
        <v>3</v>
      </c>
      <c r="C6" s="3" t="s">
        <v>29</v>
      </c>
      <c r="D6" s="3" t="s">
        <v>30</v>
      </c>
    </row>
    <row r="7" spans="1:4">
      <c r="A7" s="1"/>
      <c r="B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465D-FBF0-477E-851B-F9EE26463447}">
  <dimension ref="A1:F26"/>
  <sheetViews>
    <sheetView workbookViewId="0">
      <selection activeCell="A8" sqref="A8"/>
    </sheetView>
  </sheetViews>
  <sheetFormatPr defaultRowHeight="15"/>
  <cols>
    <col min="1" max="1" width="20.85546875" customWidth="1"/>
    <col min="2" max="2" width="28.7109375" customWidth="1"/>
    <col min="3" max="3" width="20.85546875" customWidth="1"/>
    <col min="4" max="4" width="26.140625" customWidth="1"/>
    <col min="5" max="5" width="26.85546875" customWidth="1"/>
    <col min="6" max="6" width="46" customWidth="1"/>
  </cols>
  <sheetData>
    <row r="1" spans="1:6" ht="45">
      <c r="A1" s="2" t="s">
        <v>4</v>
      </c>
      <c r="B1" s="2" t="s">
        <v>5</v>
      </c>
      <c r="C1" s="2" t="s">
        <v>31</v>
      </c>
      <c r="D1" s="2" t="s">
        <v>6</v>
      </c>
      <c r="E1" s="2" t="s">
        <v>7</v>
      </c>
      <c r="F1" s="2" t="s">
        <v>8</v>
      </c>
    </row>
    <row r="2" spans="1:6" ht="52.5" customHeight="1">
      <c r="A2" s="3" t="s">
        <v>9</v>
      </c>
      <c r="B2" s="3" t="s">
        <v>0</v>
      </c>
      <c r="C2" s="3" t="s">
        <v>11</v>
      </c>
      <c r="D2" s="3" t="s">
        <v>10</v>
      </c>
      <c r="E2" s="3" t="s">
        <v>32</v>
      </c>
      <c r="F2" s="3" t="s">
        <v>33</v>
      </c>
    </row>
    <row r="3" spans="1:6" ht="45">
      <c r="A3" s="3" t="s">
        <v>34</v>
      </c>
      <c r="B3" s="3" t="s">
        <v>0</v>
      </c>
      <c r="C3" s="3" t="s">
        <v>11</v>
      </c>
      <c r="D3" s="3" t="s">
        <v>35</v>
      </c>
      <c r="E3" s="3" t="s">
        <v>36</v>
      </c>
      <c r="F3" s="3" t="s">
        <v>37</v>
      </c>
    </row>
    <row r="4" spans="1:6" ht="45">
      <c r="A4" s="3" t="s">
        <v>38</v>
      </c>
      <c r="B4" s="3" t="s">
        <v>0</v>
      </c>
      <c r="C4" s="3" t="s">
        <v>11</v>
      </c>
      <c r="D4" s="3" t="s">
        <v>39</v>
      </c>
      <c r="E4" s="3" t="s">
        <v>40</v>
      </c>
      <c r="F4" s="3" t="s">
        <v>41</v>
      </c>
    </row>
    <row r="5" spans="1:6" ht="45">
      <c r="A5" s="3" t="s">
        <v>42</v>
      </c>
      <c r="B5" s="3" t="s">
        <v>0</v>
      </c>
      <c r="C5" s="3" t="s">
        <v>11</v>
      </c>
      <c r="D5" s="3" t="s">
        <v>43</v>
      </c>
      <c r="E5" s="3" t="s">
        <v>44</v>
      </c>
      <c r="F5" s="3" t="s">
        <v>45</v>
      </c>
    </row>
    <row r="6" spans="1:6" ht="60">
      <c r="A6" s="3" t="s">
        <v>46</v>
      </c>
      <c r="B6" s="3" t="s">
        <v>0</v>
      </c>
      <c r="C6" s="3" t="s">
        <v>11</v>
      </c>
      <c r="D6" s="3" t="s">
        <v>47</v>
      </c>
      <c r="E6" s="3" t="s">
        <v>48</v>
      </c>
      <c r="F6" s="3" t="s">
        <v>49</v>
      </c>
    </row>
    <row r="7" spans="1:6" ht="30">
      <c r="A7" s="3" t="s">
        <v>50</v>
      </c>
      <c r="B7" s="3" t="s">
        <v>0</v>
      </c>
      <c r="C7" s="3" t="s">
        <v>11</v>
      </c>
      <c r="D7" s="3" t="s">
        <v>51</v>
      </c>
      <c r="E7" s="3" t="s">
        <v>52</v>
      </c>
      <c r="F7" s="3" t="s">
        <v>53</v>
      </c>
    </row>
    <row r="8" spans="1:6" ht="45">
      <c r="A8" s="3" t="s">
        <v>54</v>
      </c>
      <c r="B8" s="3" t="s">
        <v>0</v>
      </c>
      <c r="C8" s="3" t="s">
        <v>55</v>
      </c>
      <c r="D8" s="3" t="s">
        <v>56</v>
      </c>
      <c r="E8" s="3" t="s">
        <v>57</v>
      </c>
      <c r="F8" s="3" t="s">
        <v>58</v>
      </c>
    </row>
    <row r="9" spans="1:6" ht="45">
      <c r="A9" s="3" t="s">
        <v>59</v>
      </c>
      <c r="B9" s="3" t="s">
        <v>0</v>
      </c>
      <c r="C9" s="3" t="s">
        <v>60</v>
      </c>
      <c r="D9" s="3" t="s">
        <v>61</v>
      </c>
      <c r="E9" s="3" t="s">
        <v>62</v>
      </c>
      <c r="F9" s="3" t="s">
        <v>63</v>
      </c>
    </row>
    <row r="10" spans="1:6" ht="45">
      <c r="A10" s="3" t="s">
        <v>64</v>
      </c>
      <c r="B10" s="3" t="s">
        <v>0</v>
      </c>
      <c r="C10" s="3" t="s">
        <v>65</v>
      </c>
      <c r="D10" s="3" t="s">
        <v>66</v>
      </c>
      <c r="E10" s="3" t="s">
        <v>67</v>
      </c>
      <c r="F10" s="3" t="s">
        <v>68</v>
      </c>
    </row>
    <row r="11" spans="1:6" ht="45">
      <c r="A11" s="3" t="s">
        <v>69</v>
      </c>
      <c r="B11" s="3" t="s">
        <v>0</v>
      </c>
      <c r="C11" s="3" t="s">
        <v>70</v>
      </c>
      <c r="D11" s="3" t="s">
        <v>71</v>
      </c>
      <c r="E11" s="3" t="s">
        <v>72</v>
      </c>
      <c r="F11" s="3" t="s">
        <v>73</v>
      </c>
    </row>
    <row r="12" spans="1:6" ht="45">
      <c r="A12" s="3" t="s">
        <v>74</v>
      </c>
      <c r="B12" s="3" t="s">
        <v>19</v>
      </c>
      <c r="C12" s="3" t="s">
        <v>11</v>
      </c>
      <c r="D12" s="3" t="s">
        <v>10</v>
      </c>
      <c r="E12" s="3" t="s">
        <v>75</v>
      </c>
      <c r="F12" s="3" t="s">
        <v>76</v>
      </c>
    </row>
    <row r="13" spans="1:6" ht="45">
      <c r="A13" s="3" t="s">
        <v>77</v>
      </c>
      <c r="B13" s="3" t="s">
        <v>19</v>
      </c>
      <c r="C13" s="3" t="s">
        <v>11</v>
      </c>
      <c r="D13" s="3" t="s">
        <v>78</v>
      </c>
      <c r="E13" s="3" t="s">
        <v>79</v>
      </c>
      <c r="F13" s="3" t="s">
        <v>80</v>
      </c>
    </row>
    <row r="14" spans="1:6" ht="45">
      <c r="A14" s="3" t="s">
        <v>81</v>
      </c>
      <c r="B14" s="3" t="s">
        <v>19</v>
      </c>
      <c r="C14" s="3" t="s">
        <v>11</v>
      </c>
      <c r="D14" s="3" t="s">
        <v>82</v>
      </c>
      <c r="E14" s="3" t="s">
        <v>83</v>
      </c>
      <c r="F14" s="3" t="s">
        <v>84</v>
      </c>
    </row>
    <row r="15" spans="1:6" ht="30">
      <c r="A15" s="3" t="s">
        <v>85</v>
      </c>
      <c r="B15" s="3" t="s">
        <v>19</v>
      </c>
      <c r="C15" s="3" t="s">
        <v>11</v>
      </c>
      <c r="D15" s="3" t="s">
        <v>86</v>
      </c>
      <c r="E15" s="3" t="s">
        <v>87</v>
      </c>
      <c r="F15" s="3" t="s">
        <v>88</v>
      </c>
    </row>
    <row r="16" spans="1:6" ht="60">
      <c r="A16" s="3" t="s">
        <v>89</v>
      </c>
      <c r="B16" s="3" t="s">
        <v>19</v>
      </c>
      <c r="C16" s="3" t="s">
        <v>11</v>
      </c>
      <c r="D16" s="3" t="s">
        <v>90</v>
      </c>
      <c r="E16" s="3" t="s">
        <v>91</v>
      </c>
      <c r="F16" s="3" t="s">
        <v>92</v>
      </c>
    </row>
    <row r="17" spans="1:6" ht="45">
      <c r="A17" s="3" t="s">
        <v>93</v>
      </c>
      <c r="B17" s="3" t="s">
        <v>19</v>
      </c>
      <c r="C17" s="3" t="s">
        <v>11</v>
      </c>
      <c r="D17" s="3" t="s">
        <v>94</v>
      </c>
      <c r="E17" s="3" t="s">
        <v>95</v>
      </c>
      <c r="F17" s="3" t="s">
        <v>96</v>
      </c>
    </row>
    <row r="18" spans="1:6" ht="45">
      <c r="A18" s="3" t="s">
        <v>97</v>
      </c>
      <c r="B18" s="3" t="s">
        <v>1</v>
      </c>
      <c r="C18" s="3" t="s">
        <v>11</v>
      </c>
      <c r="D18" s="3" t="s">
        <v>98</v>
      </c>
      <c r="E18" s="3" t="s">
        <v>99</v>
      </c>
      <c r="F18" s="3" t="s">
        <v>100</v>
      </c>
    </row>
    <row r="19" spans="1:6" ht="60">
      <c r="A19" s="3" t="s">
        <v>101</v>
      </c>
      <c r="B19" s="3" t="s">
        <v>1</v>
      </c>
      <c r="C19" s="3" t="s">
        <v>11</v>
      </c>
      <c r="D19" s="3" t="s">
        <v>102</v>
      </c>
      <c r="E19" s="3" t="s">
        <v>103</v>
      </c>
      <c r="F19" s="3" t="s">
        <v>104</v>
      </c>
    </row>
    <row r="20" spans="1:6" ht="45">
      <c r="A20" s="3" t="s">
        <v>105</v>
      </c>
      <c r="B20" s="3" t="s">
        <v>1</v>
      </c>
      <c r="C20" s="3" t="s">
        <v>11</v>
      </c>
      <c r="D20" s="3" t="s">
        <v>106</v>
      </c>
      <c r="E20" s="3" t="s">
        <v>107</v>
      </c>
      <c r="F20" s="3" t="s">
        <v>108</v>
      </c>
    </row>
    <row r="21" spans="1:6" ht="45">
      <c r="A21" s="3" t="s">
        <v>109</v>
      </c>
      <c r="B21" s="3" t="s">
        <v>1</v>
      </c>
      <c r="C21" s="3" t="s">
        <v>11</v>
      </c>
      <c r="D21" s="3" t="s">
        <v>110</v>
      </c>
      <c r="E21" s="3" t="s">
        <v>111</v>
      </c>
      <c r="F21" s="3" t="s">
        <v>112</v>
      </c>
    </row>
    <row r="22" spans="1:6" ht="45">
      <c r="A22" s="3" t="s">
        <v>113</v>
      </c>
      <c r="B22" s="3" t="s">
        <v>2</v>
      </c>
      <c r="C22" s="3" t="s">
        <v>11</v>
      </c>
      <c r="D22" s="3" t="s">
        <v>129</v>
      </c>
      <c r="E22" s="3" t="s">
        <v>75</v>
      </c>
      <c r="F22" s="3" t="s">
        <v>114</v>
      </c>
    </row>
    <row r="23" spans="1:6" ht="30">
      <c r="A23" s="3" t="s">
        <v>115</v>
      </c>
      <c r="B23" s="3" t="s">
        <v>2</v>
      </c>
      <c r="C23" s="3" t="s">
        <v>11</v>
      </c>
      <c r="D23" s="3" t="s">
        <v>173</v>
      </c>
      <c r="E23" s="3" t="s">
        <v>116</v>
      </c>
      <c r="F23" s="3" t="s">
        <v>117</v>
      </c>
    </row>
    <row r="24" spans="1:6" ht="30">
      <c r="A24" s="3" t="s">
        <v>118</v>
      </c>
      <c r="B24" s="3" t="s">
        <v>3</v>
      </c>
      <c r="C24" s="3" t="s">
        <v>11</v>
      </c>
      <c r="D24" s="3" t="s">
        <v>174</v>
      </c>
      <c r="E24" s="3" t="s">
        <v>119</v>
      </c>
      <c r="F24" s="3" t="s">
        <v>120</v>
      </c>
    </row>
    <row r="25" spans="1:6" ht="30">
      <c r="A25" s="3" t="s">
        <v>121</v>
      </c>
      <c r="B25" s="3" t="s">
        <v>3</v>
      </c>
      <c r="C25" s="3" t="s">
        <v>11</v>
      </c>
      <c r="D25" s="3" t="s">
        <v>122</v>
      </c>
      <c r="E25" s="3" t="s">
        <v>123</v>
      </c>
      <c r="F25" s="3" t="s">
        <v>124</v>
      </c>
    </row>
    <row r="26" spans="1:6" ht="30">
      <c r="A26" s="3" t="s">
        <v>125</v>
      </c>
      <c r="B26" s="3" t="s">
        <v>3</v>
      </c>
      <c r="C26" s="3" t="s">
        <v>11</v>
      </c>
      <c r="D26" s="3" t="s">
        <v>126</v>
      </c>
      <c r="E26" s="3" t="s">
        <v>127</v>
      </c>
      <c r="F26" s="3" t="s">
        <v>128</v>
      </c>
    </row>
  </sheetData>
  <conditionalFormatting sqref="C2:C7 C9 C11:C26">
    <cfRule type="expression" dxfId="5" priority="1">
      <formula>C2="AI"</formula>
    </cfRule>
    <cfRule type="expression" dxfId="4" priority="2">
      <formula>C2="Tester"</formula>
    </cfRule>
  </conditionalFormatting>
  <dataValidations count="2">
    <dataValidation type="list" sqref="C2:C26" xr:uid="{2E41C1F4-551F-4AF7-AAC6-C55431D919EA}">
      <formula1>"General,Data,AI,Tester,K3-12"</formula1>
    </dataValidation>
    <dataValidation type="list" sqref="B2:B26" xr:uid="{D17E36B6-5B63-4C4D-A4B7-38AADA2AF9F6}">
      <formula1>"Học viên,Giảng viên,Admin,Phụ huynh,Khách chưa đăng nhập"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2403-6B32-483B-AA12-4843E70C3197}">
  <dimension ref="A1:M51"/>
  <sheetViews>
    <sheetView tabSelected="1" topLeftCell="A4" zoomScale="115" zoomScaleNormal="115" workbookViewId="0">
      <selection activeCell="A53" sqref="A53"/>
    </sheetView>
  </sheetViews>
  <sheetFormatPr defaultRowHeight="15"/>
  <cols>
    <col min="1" max="1" width="13.140625" customWidth="1"/>
    <col min="2" max="2" width="12.140625" customWidth="1"/>
    <col min="3" max="3" width="29.28515625" customWidth="1"/>
    <col min="4" max="4" width="17.7109375" customWidth="1"/>
    <col min="5" max="5" width="14.7109375" customWidth="1"/>
    <col min="6" max="6" width="17.85546875" customWidth="1"/>
    <col min="7" max="7" width="20.28515625" customWidth="1"/>
    <col min="8" max="8" width="16.42578125" customWidth="1"/>
    <col min="9" max="9" width="26.85546875" customWidth="1"/>
    <col min="10" max="10" width="19.28515625" customWidth="1"/>
  </cols>
  <sheetData>
    <row r="1" spans="1:13" ht="60">
      <c r="A1" s="2" t="s">
        <v>4</v>
      </c>
      <c r="B1" s="2" t="s">
        <v>215</v>
      </c>
      <c r="C1" s="2" t="s">
        <v>131</v>
      </c>
      <c r="D1" s="2" t="s">
        <v>216</v>
      </c>
      <c r="E1" s="2" t="s">
        <v>217</v>
      </c>
      <c r="F1" s="2" t="s">
        <v>132</v>
      </c>
      <c r="G1" s="2" t="s">
        <v>218</v>
      </c>
      <c r="H1" s="2" t="s">
        <v>219</v>
      </c>
      <c r="I1" s="2" t="s">
        <v>134</v>
      </c>
      <c r="J1" s="2" t="s">
        <v>135</v>
      </c>
    </row>
    <row r="2" spans="1:13" ht="45">
      <c r="A2" s="3" t="s">
        <v>9</v>
      </c>
      <c r="B2" s="3" t="s">
        <v>136</v>
      </c>
      <c r="C2" s="3" t="s">
        <v>137</v>
      </c>
      <c r="D2" s="3">
        <v>3</v>
      </c>
      <c r="E2" s="3">
        <v>5</v>
      </c>
      <c r="F2" s="3">
        <f>D2*E2</f>
        <v>15</v>
      </c>
      <c r="G2" s="3" t="str">
        <f>IF(F2&gt;=20,"Critical",IF(F2&gt;=15,"High",IF(F2&gt;=8,"Medium","Low")))</f>
        <v>High</v>
      </c>
      <c r="H2" s="3" t="s">
        <v>138</v>
      </c>
      <c r="I2" s="3" t="s">
        <v>175</v>
      </c>
      <c r="J2" s="3" t="s">
        <v>176</v>
      </c>
      <c r="L2" s="3"/>
      <c r="M2" s="3"/>
    </row>
    <row r="3" spans="1:13" ht="30">
      <c r="A3" s="3" t="s">
        <v>9</v>
      </c>
      <c r="B3" s="3" t="s">
        <v>136</v>
      </c>
      <c r="C3" s="3" t="s">
        <v>139</v>
      </c>
      <c r="D3" s="3">
        <v>3</v>
      </c>
      <c r="E3" s="3">
        <v>5</v>
      </c>
      <c r="F3" s="3">
        <f>D3*E3</f>
        <v>15</v>
      </c>
      <c r="G3" s="3" t="str">
        <f>IF(F3&gt;=20,"Critical",IF(F3&gt;=15,"High",IF(F3&gt;=8,"Medium","Low")))</f>
        <v>High</v>
      </c>
      <c r="H3" s="3" t="s">
        <v>138</v>
      </c>
      <c r="I3" s="3" t="s">
        <v>140</v>
      </c>
      <c r="J3" s="3" t="s">
        <v>176</v>
      </c>
      <c r="L3" s="4"/>
      <c r="M3" s="3"/>
    </row>
    <row r="4" spans="1:13" ht="30">
      <c r="A4" s="3" t="s">
        <v>34</v>
      </c>
      <c r="B4" s="3" t="s">
        <v>60</v>
      </c>
      <c r="C4" s="3" t="s">
        <v>141</v>
      </c>
      <c r="D4" s="3">
        <v>3</v>
      </c>
      <c r="E4" s="3">
        <v>5</v>
      </c>
      <c r="F4" s="3">
        <f>D4*E4</f>
        <v>15</v>
      </c>
      <c r="G4" s="3" t="str">
        <f>IF(F4&gt;=20,"Critical",IF(F4&gt;=15,"High",IF(F4&gt;=8,"Medium","Low")))</f>
        <v>High</v>
      </c>
      <c r="H4" s="3" t="s">
        <v>142</v>
      </c>
      <c r="I4" s="3" t="s">
        <v>185</v>
      </c>
      <c r="J4" s="3" t="s">
        <v>176</v>
      </c>
      <c r="L4" s="3"/>
      <c r="M4" s="3"/>
    </row>
    <row r="5" spans="1:13" ht="30">
      <c r="A5" s="3" t="s">
        <v>42</v>
      </c>
      <c r="B5" s="3" t="s">
        <v>60</v>
      </c>
      <c r="C5" s="3" t="s">
        <v>147</v>
      </c>
      <c r="D5" s="3">
        <v>3</v>
      </c>
      <c r="E5" s="3">
        <v>5</v>
      </c>
      <c r="F5" s="3">
        <f>D5*E5</f>
        <v>15</v>
      </c>
      <c r="G5" s="3" t="str">
        <f>IF(F5&gt;=20,"Critical",IF(F5&gt;=15,"High",IF(F5&gt;=8,"Medium","Low")))</f>
        <v>High</v>
      </c>
      <c r="H5" s="3" t="s">
        <v>142</v>
      </c>
      <c r="I5" s="3" t="s">
        <v>186</v>
      </c>
      <c r="J5" s="3" t="s">
        <v>176</v>
      </c>
    </row>
    <row r="6" spans="1:13" ht="30">
      <c r="A6" s="3" t="s">
        <v>42</v>
      </c>
      <c r="B6" s="3" t="s">
        <v>148</v>
      </c>
      <c r="C6" s="3" t="s">
        <v>149</v>
      </c>
      <c r="D6" s="3">
        <v>3</v>
      </c>
      <c r="E6" s="3">
        <v>5</v>
      </c>
      <c r="F6" s="3">
        <f>D6*E6</f>
        <v>15</v>
      </c>
      <c r="G6" s="3" t="str">
        <f>IF(F6&gt;=20,"Critical",IF(F6&gt;=15,"High",IF(F6&gt;=8,"Medium","Low")))</f>
        <v>High</v>
      </c>
      <c r="H6" s="3" t="s">
        <v>142</v>
      </c>
      <c r="I6" s="3" t="s">
        <v>178</v>
      </c>
      <c r="J6" s="3" t="s">
        <v>176</v>
      </c>
    </row>
    <row r="7" spans="1:13" ht="30">
      <c r="A7" s="3" t="s">
        <v>105</v>
      </c>
      <c r="B7" s="3" t="s">
        <v>136</v>
      </c>
      <c r="C7" s="3" t="s">
        <v>168</v>
      </c>
      <c r="D7" s="3">
        <v>3</v>
      </c>
      <c r="E7" s="3">
        <v>5</v>
      </c>
      <c r="F7" s="3">
        <f>D7*E7</f>
        <v>15</v>
      </c>
      <c r="G7" s="3" t="str">
        <f>IF(F7&gt;=20,"Critical",IF(F7&gt;=15,"High",IF(F7&gt;=8,"Medium","Low")))</f>
        <v>High</v>
      </c>
      <c r="H7" s="3" t="s">
        <v>169</v>
      </c>
      <c r="I7" s="3" t="s">
        <v>188</v>
      </c>
      <c r="J7" s="3" t="s">
        <v>176</v>
      </c>
    </row>
    <row r="8" spans="1:13" ht="30">
      <c r="A8" s="3" t="s">
        <v>125</v>
      </c>
      <c r="B8" s="3" t="s">
        <v>136</v>
      </c>
      <c r="C8" s="3" t="s">
        <v>170</v>
      </c>
      <c r="D8" s="3">
        <v>3</v>
      </c>
      <c r="E8" s="3">
        <v>5</v>
      </c>
      <c r="F8" s="3">
        <f>D8*E8</f>
        <v>15</v>
      </c>
      <c r="G8" s="3" t="str">
        <f>IF(F8&gt;=20,"Critical",IF(F8&gt;=15,"High",IF(F8&gt;=8,"Medium","Low")))</f>
        <v>High</v>
      </c>
      <c r="H8" s="3" t="s">
        <v>142</v>
      </c>
      <c r="I8" s="3" t="s">
        <v>171</v>
      </c>
      <c r="J8" s="3" t="s">
        <v>176</v>
      </c>
    </row>
    <row r="9" spans="1:13" ht="30">
      <c r="A9" s="3" t="s">
        <v>38</v>
      </c>
      <c r="B9" s="3" t="s">
        <v>143</v>
      </c>
      <c r="C9" s="3" t="s">
        <v>144</v>
      </c>
      <c r="D9" s="3">
        <v>4</v>
      </c>
      <c r="E9" s="3">
        <v>3</v>
      </c>
      <c r="F9" s="3">
        <f>D9*E9</f>
        <v>12</v>
      </c>
      <c r="G9" s="3" t="str">
        <f>IF(F9&gt;=20,"Critical",IF(F9&gt;=15,"High",IF(F9&gt;=8,"Medium","Low")))</f>
        <v>Medium</v>
      </c>
      <c r="H9" s="3" t="s">
        <v>145</v>
      </c>
      <c r="I9" s="3" t="s">
        <v>146</v>
      </c>
      <c r="J9" s="3" t="s">
        <v>176</v>
      </c>
    </row>
    <row r="10" spans="1:13" ht="30">
      <c r="A10" s="3" t="s">
        <v>54</v>
      </c>
      <c r="B10" s="3" t="s">
        <v>55</v>
      </c>
      <c r="C10" s="3" t="s">
        <v>181</v>
      </c>
      <c r="D10" s="3">
        <v>3</v>
      </c>
      <c r="E10" s="3">
        <v>4</v>
      </c>
      <c r="F10" s="3">
        <f>D10*E10</f>
        <v>12</v>
      </c>
      <c r="G10" s="3" t="str">
        <f>IF(F10&gt;=20,"Critical",IF(F10&gt;=15,"High",IF(F10&gt;=8,"Medium","Low")))</f>
        <v>Medium</v>
      </c>
      <c r="H10" s="3" t="s">
        <v>155</v>
      </c>
      <c r="I10" s="3" t="s">
        <v>182</v>
      </c>
      <c r="J10" s="3" t="s">
        <v>176</v>
      </c>
    </row>
    <row r="11" spans="1:13" ht="30">
      <c r="A11" s="3" t="s">
        <v>64</v>
      </c>
      <c r="B11" s="3" t="s">
        <v>143</v>
      </c>
      <c r="C11" s="3" t="s">
        <v>221</v>
      </c>
      <c r="D11" s="3">
        <v>4</v>
      </c>
      <c r="E11" s="3">
        <v>3</v>
      </c>
      <c r="F11" s="3">
        <f>D11*E11</f>
        <v>12</v>
      </c>
      <c r="G11" s="3" t="str">
        <f>IF(F11&gt;=20,"Critical",IF(F11&gt;=15,"High",IF(F11&gt;=8,"Medium","Low")))</f>
        <v>Medium</v>
      </c>
      <c r="H11" s="3" t="s">
        <v>145</v>
      </c>
      <c r="I11" s="3" t="s">
        <v>157</v>
      </c>
      <c r="J11" s="3" t="s">
        <v>176</v>
      </c>
    </row>
    <row r="12" spans="1:13" ht="30">
      <c r="A12" s="3" t="s">
        <v>69</v>
      </c>
      <c r="B12" s="3" t="s">
        <v>158</v>
      </c>
      <c r="C12" s="3" t="s">
        <v>159</v>
      </c>
      <c r="D12" s="3">
        <v>3</v>
      </c>
      <c r="E12" s="3">
        <v>4</v>
      </c>
      <c r="F12" s="3">
        <f>D12*E12</f>
        <v>12</v>
      </c>
      <c r="G12" s="3" t="str">
        <f>IF(F12&gt;=20,"Critical",IF(F12&gt;=15,"High",IF(F12&gt;=8,"Medium","Low")))</f>
        <v>Medium</v>
      </c>
      <c r="H12" s="3" t="s">
        <v>160</v>
      </c>
      <c r="I12" s="3" t="s">
        <v>183</v>
      </c>
      <c r="J12" s="3" t="s">
        <v>176</v>
      </c>
    </row>
    <row r="13" spans="1:13" ht="30">
      <c r="A13" s="3" t="s">
        <v>69</v>
      </c>
      <c r="B13" s="3" t="s">
        <v>55</v>
      </c>
      <c r="C13" s="3" t="s">
        <v>195</v>
      </c>
      <c r="D13" s="3">
        <v>3</v>
      </c>
      <c r="E13" s="3">
        <v>4</v>
      </c>
      <c r="F13" s="3">
        <f>D13*E13</f>
        <v>12</v>
      </c>
      <c r="G13" s="3" t="str">
        <f>IF(F13&gt;=20,"Critical",IF(F13&gt;=15,"High",IF(F13&gt;=8,"Medium","Low")))</f>
        <v>Medium</v>
      </c>
      <c r="H13" s="3" t="s">
        <v>155</v>
      </c>
      <c r="I13" s="3" t="s">
        <v>204</v>
      </c>
      <c r="J13" s="3" t="s">
        <v>176</v>
      </c>
    </row>
    <row r="14" spans="1:13" ht="30">
      <c r="A14" s="3" t="s">
        <v>42</v>
      </c>
      <c r="B14" s="3" t="s">
        <v>136</v>
      </c>
      <c r="C14" s="3" t="s">
        <v>150</v>
      </c>
      <c r="D14" s="3">
        <v>2</v>
      </c>
      <c r="E14" s="3">
        <v>5</v>
      </c>
      <c r="F14" s="3">
        <f>D14*E14</f>
        <v>10</v>
      </c>
      <c r="G14" s="3" t="str">
        <f>IF(F14&gt;=20,"Critical",IF(F14&gt;=15,"High",IF(F14&gt;=8,"Medium","Low")))</f>
        <v>Medium</v>
      </c>
      <c r="H14" s="3" t="s">
        <v>142</v>
      </c>
      <c r="I14" s="3" t="s">
        <v>179</v>
      </c>
      <c r="J14" s="3" t="s">
        <v>176</v>
      </c>
    </row>
    <row r="15" spans="1:13" ht="45">
      <c r="A15" s="3" t="s">
        <v>46</v>
      </c>
      <c r="B15" s="3" t="s">
        <v>136</v>
      </c>
      <c r="C15" s="3" t="s">
        <v>151</v>
      </c>
      <c r="D15" s="3">
        <v>2</v>
      </c>
      <c r="E15" s="3">
        <v>5</v>
      </c>
      <c r="F15" s="3">
        <f>D15*E15</f>
        <v>10</v>
      </c>
      <c r="G15" s="3" t="str">
        <f>IF(F15&gt;=20,"Critical",IF(F15&gt;=15,"High",IF(F15&gt;=8,"Medium","Low")))</f>
        <v>Medium</v>
      </c>
      <c r="H15" s="3" t="s">
        <v>142</v>
      </c>
      <c r="I15" s="3" t="s">
        <v>152</v>
      </c>
      <c r="J15" s="3" t="s">
        <v>176</v>
      </c>
    </row>
    <row r="16" spans="1:13" ht="60">
      <c r="A16" s="3" t="s">
        <v>50</v>
      </c>
      <c r="B16" s="3" t="s">
        <v>153</v>
      </c>
      <c r="C16" s="3" t="s">
        <v>154</v>
      </c>
      <c r="D16" s="3">
        <v>2</v>
      </c>
      <c r="E16" s="3">
        <v>5</v>
      </c>
      <c r="F16" s="3">
        <f>D16*E16</f>
        <v>10</v>
      </c>
      <c r="G16" s="3" t="str">
        <f>IF(F16&gt;=20,"Critical",IF(F16&gt;=15,"High",IF(F16&gt;=8,"Medium","Low")))</f>
        <v>Medium</v>
      </c>
      <c r="H16" s="3" t="s">
        <v>142</v>
      </c>
      <c r="I16" s="3" t="s">
        <v>180</v>
      </c>
      <c r="J16" s="3" t="s">
        <v>176</v>
      </c>
    </row>
    <row r="17" spans="1:10" ht="30">
      <c r="A17" s="3" t="s">
        <v>206</v>
      </c>
      <c r="B17" s="3" t="s">
        <v>55</v>
      </c>
      <c r="C17" s="3" t="s">
        <v>161</v>
      </c>
      <c r="D17" s="3">
        <v>2</v>
      </c>
      <c r="E17" s="3">
        <v>5</v>
      </c>
      <c r="F17" s="3">
        <f>D17*E17</f>
        <v>10</v>
      </c>
      <c r="G17" s="3" t="str">
        <f>IF(F17&gt;=20,"Critical",IF(F17&gt;=15,"High",IF(F17&gt;=8,"Medium","Low")))</f>
        <v>Medium</v>
      </c>
      <c r="H17" s="3" t="s">
        <v>156</v>
      </c>
      <c r="I17" s="3" t="s">
        <v>184</v>
      </c>
      <c r="J17" s="3" t="s">
        <v>176</v>
      </c>
    </row>
    <row r="18" spans="1:10" ht="30">
      <c r="A18" s="3" t="s">
        <v>89</v>
      </c>
      <c r="B18" s="3" t="s">
        <v>143</v>
      </c>
      <c r="C18" s="3" t="s">
        <v>162</v>
      </c>
      <c r="D18" s="3">
        <v>2</v>
      </c>
      <c r="E18" s="3">
        <v>5</v>
      </c>
      <c r="F18" s="3">
        <f>D18*E18</f>
        <v>10</v>
      </c>
      <c r="G18" s="3" t="str">
        <f>IF(F18&gt;=20,"Critical",IF(F18&gt;=15,"High",IF(F18&gt;=8,"Medium","Low")))</f>
        <v>Medium</v>
      </c>
      <c r="H18" s="3" t="s">
        <v>163</v>
      </c>
      <c r="I18" s="3" t="s">
        <v>190</v>
      </c>
      <c r="J18" s="3" t="s">
        <v>176</v>
      </c>
    </row>
    <row r="19" spans="1:10" ht="30">
      <c r="A19" s="3" t="s">
        <v>59</v>
      </c>
      <c r="B19" s="3" t="s">
        <v>143</v>
      </c>
      <c r="C19" s="3" t="s">
        <v>220</v>
      </c>
      <c r="D19" s="3">
        <v>3</v>
      </c>
      <c r="E19" s="3">
        <v>3</v>
      </c>
      <c r="F19" s="3">
        <f>D19*E19</f>
        <v>9</v>
      </c>
      <c r="G19" s="3" t="str">
        <f>IF(F19&gt;=20,"Critical",IF(F19&gt;=15,"High",IF(F19&gt;=8,"Medium","Low")))</f>
        <v>Medium</v>
      </c>
      <c r="H19" s="3" t="s">
        <v>145</v>
      </c>
      <c r="I19" s="3" t="s">
        <v>177</v>
      </c>
      <c r="J19" s="3" t="s">
        <v>176</v>
      </c>
    </row>
    <row r="20" spans="1:10" ht="45">
      <c r="A20" s="3" t="s">
        <v>38</v>
      </c>
      <c r="B20" s="3" t="s">
        <v>158</v>
      </c>
      <c r="C20" s="3" t="s">
        <v>172</v>
      </c>
      <c r="D20" s="3">
        <v>3</v>
      </c>
      <c r="E20" s="3">
        <v>3</v>
      </c>
      <c r="F20" s="3">
        <f>D20*E20</f>
        <v>9</v>
      </c>
      <c r="G20" s="3" t="str">
        <f>IF(F20&gt;=20,"Critical",IF(F20&gt;=15,"High",IF(F20&gt;=8,"Medium","Low")))</f>
        <v>Medium</v>
      </c>
      <c r="H20" s="3" t="s">
        <v>160</v>
      </c>
      <c r="I20" s="3" t="s">
        <v>187</v>
      </c>
      <c r="J20" s="3" t="s">
        <v>176</v>
      </c>
    </row>
    <row r="21" spans="1:10" ht="45">
      <c r="A21" s="3" t="s">
        <v>191</v>
      </c>
      <c r="B21" s="3" t="s">
        <v>143</v>
      </c>
      <c r="C21" s="3" t="s">
        <v>164</v>
      </c>
      <c r="D21" s="3">
        <v>2</v>
      </c>
      <c r="E21" s="3">
        <v>4</v>
      </c>
      <c r="F21" s="3">
        <f>D21*E21</f>
        <v>8</v>
      </c>
      <c r="G21" s="3" t="str">
        <f>IF(F21&gt;=20,"Critical",IF(F21&gt;=15,"High",IF(F21&gt;=8,"Medium","Low")))</f>
        <v>Medium</v>
      </c>
      <c r="H21" s="3" t="s">
        <v>145</v>
      </c>
      <c r="I21" s="3" t="s">
        <v>189</v>
      </c>
      <c r="J21" s="3" t="s">
        <v>176</v>
      </c>
    </row>
    <row r="22" spans="1:10" ht="30">
      <c r="A22" s="3" t="s">
        <v>101</v>
      </c>
      <c r="B22" s="3" t="s">
        <v>136</v>
      </c>
      <c r="C22" s="3" t="s">
        <v>165</v>
      </c>
      <c r="D22" s="3">
        <v>2</v>
      </c>
      <c r="E22" s="3">
        <v>4</v>
      </c>
      <c r="F22" s="3">
        <f>D22*E22</f>
        <v>8</v>
      </c>
      <c r="G22" s="3" t="str">
        <f>IF(F22&gt;=20,"Critical",IF(F22&gt;=15,"High",IF(F22&gt;=8,"Medium","Low")))</f>
        <v>Medium</v>
      </c>
      <c r="H22" s="3" t="s">
        <v>166</v>
      </c>
      <c r="I22" s="3" t="s">
        <v>167</v>
      </c>
      <c r="J22" s="3" t="s">
        <v>205</v>
      </c>
    </row>
    <row r="23" spans="1:10" ht="30">
      <c r="A23" s="3" t="s">
        <v>194</v>
      </c>
      <c r="B23" s="3" t="s">
        <v>55</v>
      </c>
      <c r="C23" s="3" t="s">
        <v>207</v>
      </c>
      <c r="D23" s="3">
        <v>2</v>
      </c>
      <c r="E23" s="3">
        <v>3</v>
      </c>
      <c r="F23" s="3">
        <f>D23*E23</f>
        <v>6</v>
      </c>
      <c r="G23" s="3" t="str">
        <f>IF(F23&gt;=20,"Critical",IF(F23&gt;=15,"High",IF(F23&gt;=8,"Medium","Low")))</f>
        <v>Low</v>
      </c>
      <c r="H23" s="3" t="s">
        <v>155</v>
      </c>
      <c r="I23" s="3" t="s">
        <v>214</v>
      </c>
      <c r="J23" s="3" t="s">
        <v>176</v>
      </c>
    </row>
    <row r="24" spans="1:10" ht="30">
      <c r="A24" s="3" t="s">
        <v>93</v>
      </c>
      <c r="B24" s="3" t="s">
        <v>143</v>
      </c>
      <c r="C24" s="3" t="s">
        <v>192</v>
      </c>
      <c r="D24" s="3">
        <v>3</v>
      </c>
      <c r="E24" s="3">
        <v>2</v>
      </c>
      <c r="F24" s="3">
        <f>D24*E24</f>
        <v>6</v>
      </c>
      <c r="G24" s="3" t="str">
        <f>IF(F24&gt;=20,"Critical",IF(F24&gt;=15,"High",IF(F24&gt;=8,"Medium","Low")))</f>
        <v>Low</v>
      </c>
      <c r="H24" s="3" t="s">
        <v>145</v>
      </c>
      <c r="I24" s="3" t="s">
        <v>193</v>
      </c>
      <c r="J24" s="3"/>
    </row>
    <row r="39" spans="1:2">
      <c r="A39" t="s">
        <v>132</v>
      </c>
    </row>
    <row r="40" spans="1:2">
      <c r="A40" t="s">
        <v>196</v>
      </c>
      <c r="B40" t="s">
        <v>197</v>
      </c>
    </row>
    <row r="41" spans="1:2">
      <c r="A41" s="3" t="s">
        <v>198</v>
      </c>
      <c r="B41" s="3" t="s">
        <v>199</v>
      </c>
    </row>
    <row r="42" spans="1:2">
      <c r="A42" s="4" t="s">
        <v>200</v>
      </c>
      <c r="B42" s="3" t="s">
        <v>201</v>
      </c>
    </row>
    <row r="43" spans="1:2">
      <c r="A43" s="3" t="s">
        <v>202</v>
      </c>
      <c r="B43" s="3" t="s">
        <v>203</v>
      </c>
    </row>
    <row r="46" spans="1:2" ht="60">
      <c r="A46" s="1" t="s">
        <v>216</v>
      </c>
    </row>
    <row r="47" spans="1:2">
      <c r="A47">
        <v>1</v>
      </c>
      <c r="B47" t="s">
        <v>222</v>
      </c>
    </row>
    <row r="48" spans="1:2">
      <c r="A48">
        <v>2</v>
      </c>
      <c r="B48" t="s">
        <v>223</v>
      </c>
    </row>
    <row r="49" spans="1:2">
      <c r="A49">
        <v>3</v>
      </c>
      <c r="B49" t="s">
        <v>224</v>
      </c>
    </row>
    <row r="50" spans="1:2">
      <c r="A50">
        <v>4</v>
      </c>
      <c r="B50" t="s">
        <v>225</v>
      </c>
    </row>
    <row r="51" spans="1:2">
      <c r="A51">
        <v>5</v>
      </c>
      <c r="B51" t="s">
        <v>226</v>
      </c>
    </row>
  </sheetData>
  <sortState xmlns:xlrd2="http://schemas.microsoft.com/office/spreadsheetml/2017/richdata2" ref="A2:J24">
    <sortCondition descending="1" ref="F1:F24"/>
  </sortState>
  <dataValidations count="2">
    <dataValidation type="list" sqref="B2:B24" xr:uid="{DEC40373-F6AB-4937-AF4F-DFC0D7F222E9}">
      <formula1>"Code,Content,Data,AI,Security,Privacy,UX"</formula1>
    </dataValidation>
    <dataValidation type="list" sqref="D2:E24" xr:uid="{F2E278EF-229B-4437-A023-2599A78C2121}">
      <formula1>"1,2,3,4,5"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9596-0F69-4F65-8F13-65A86866FAF3}">
  <dimension ref="A1:J1"/>
  <sheetViews>
    <sheetView workbookViewId="0">
      <selection activeCell="K1" sqref="K1"/>
    </sheetView>
  </sheetViews>
  <sheetFormatPr defaultRowHeight="15"/>
  <cols>
    <col min="1" max="1" width="13.7109375" customWidth="1"/>
    <col min="2" max="2" width="15.140625" customWidth="1"/>
    <col min="3" max="3" width="17.5703125" customWidth="1"/>
    <col min="4" max="4" width="18.140625" customWidth="1"/>
    <col min="5" max="5" width="26.42578125" customWidth="1"/>
    <col min="6" max="6" width="16.85546875" customWidth="1"/>
    <col min="7" max="7" width="22.7109375" customWidth="1"/>
    <col min="8" max="8" width="16" customWidth="1"/>
    <col min="9" max="9" width="18.5703125" customWidth="1"/>
    <col min="10" max="10" width="18.140625" customWidth="1"/>
  </cols>
  <sheetData>
    <row r="1" spans="1:10" ht="45">
      <c r="A1" s="2" t="s">
        <v>208</v>
      </c>
      <c r="B1" s="2" t="s">
        <v>209</v>
      </c>
      <c r="C1" s="2" t="s">
        <v>4</v>
      </c>
      <c r="D1" s="2" t="s">
        <v>130</v>
      </c>
      <c r="E1" s="2" t="s">
        <v>131</v>
      </c>
      <c r="F1" s="2" t="s">
        <v>210</v>
      </c>
      <c r="G1" s="2" t="s">
        <v>211</v>
      </c>
      <c r="H1" s="2" t="s">
        <v>212</v>
      </c>
      <c r="I1" s="2" t="s">
        <v>133</v>
      </c>
      <c r="J1" s="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actor</vt:lpstr>
      <vt:lpstr>02_User_Journeys</vt:lpstr>
      <vt:lpstr>03_Risk_Register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2026-08-28T06:39:04Z</dcterms:created>
  <dcterms:modified xsi:type="dcterms:W3CDTF">2026-08-28T09:55:48Z</dcterms:modified>
</cp:coreProperties>
</file>