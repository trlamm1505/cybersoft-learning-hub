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USER\Desktop\cybersoft-learning-hub\Test\"/>
    </mc:Choice>
  </mc:AlternateContent>
  <xr:revisionPtr revIDLastSave="0" documentId="13_ncr:1_{A04D6397-D623-40E7-836C-03B72AA54966}" xr6:coauthVersionLast="47" xr6:coauthVersionMax="47" xr10:uidLastSave="{00000000-0000-0000-0000-000000000000}"/>
  <bookViews>
    <workbookView xWindow="-120" yWindow="-120" windowWidth="29040" windowHeight="15720" activeTab="4" xr2:uid="{394790AF-A8C1-465A-9DC8-58E0DC99D6F9}"/>
  </bookViews>
  <sheets>
    <sheet name="actor" sheetId="1" r:id="rId1"/>
    <sheet name="02_User_Journeys" sheetId="3" r:id="rId2"/>
    <sheet name="03_Risk_Register" sheetId="4" r:id="rId3"/>
    <sheet name="top_20_risk" sheetId="5" r:id="rId4"/>
    <sheet name="Sheet1"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5" l="1"/>
  <c r="G21" i="5" s="1"/>
  <c r="F20" i="5"/>
  <c r="G20" i="5" s="1"/>
  <c r="F19" i="5"/>
  <c r="G19" i="5" s="1"/>
  <c r="F18" i="5"/>
  <c r="G18" i="5" s="1"/>
  <c r="F17" i="5"/>
  <c r="G17" i="5" s="1"/>
  <c r="F16" i="5"/>
  <c r="G16" i="5" s="1"/>
  <c r="F15" i="5"/>
  <c r="G15" i="5" s="1"/>
  <c r="F14" i="5"/>
  <c r="G14" i="5" s="1"/>
  <c r="F13" i="5"/>
  <c r="G13" i="5" s="1"/>
  <c r="F12" i="5"/>
  <c r="G12" i="5" s="1"/>
  <c r="F11" i="5"/>
  <c r="G11" i="5" s="1"/>
  <c r="F10" i="5"/>
  <c r="G10" i="5" s="1"/>
  <c r="F9" i="5"/>
  <c r="G9" i="5" s="1"/>
  <c r="F8" i="5"/>
  <c r="G8" i="5" s="1"/>
  <c r="F7" i="5"/>
  <c r="G7" i="5" s="1"/>
  <c r="F6" i="5"/>
  <c r="G6" i="5" s="1"/>
  <c r="F5" i="5"/>
  <c r="G5" i="5" s="1"/>
  <c r="F4" i="5"/>
  <c r="G4" i="5" s="1"/>
  <c r="F3" i="5"/>
  <c r="G3" i="5" s="1"/>
  <c r="F2" i="5"/>
  <c r="G2" i="5" s="1"/>
  <c r="F23" i="4"/>
  <c r="G23" i="4"/>
  <c r="F13" i="4"/>
  <c r="G13" i="4" s="1"/>
  <c r="F24" i="4"/>
  <c r="G24" i="4" s="1"/>
  <c r="F20" i="4"/>
  <c r="G20" i="4"/>
  <c r="F8" i="4"/>
  <c r="G8" i="4" s="1"/>
  <c r="F7" i="4"/>
  <c r="G7" i="4" s="1"/>
  <c r="F22" i="4"/>
  <c r="G22" i="4" s="1"/>
  <c r="F21" i="4"/>
  <c r="G21" i="4" s="1"/>
  <c r="F18" i="4"/>
  <c r="G18" i="4" s="1"/>
  <c r="F17" i="4"/>
  <c r="G17" i="4" s="1"/>
  <c r="F12" i="4"/>
  <c r="G12" i="4" s="1"/>
  <c r="F11" i="4"/>
  <c r="G11" i="4" s="1"/>
  <c r="F19" i="4"/>
  <c r="G19" i="4" s="1"/>
  <c r="F10" i="4"/>
  <c r="G10" i="4" s="1"/>
  <c r="F16" i="4"/>
  <c r="G16" i="4" s="1"/>
  <c r="F15" i="4"/>
  <c r="G15" i="4" s="1"/>
  <c r="F14" i="4"/>
  <c r="G14" i="4" s="1"/>
  <c r="F6" i="4"/>
  <c r="G6" i="4" s="1"/>
  <c r="F5" i="4"/>
  <c r="G5" i="4" s="1"/>
  <c r="F9" i="4"/>
  <c r="G9" i="4" s="1"/>
  <c r="F4" i="4"/>
  <c r="G4" i="4" s="1"/>
  <c r="F3" i="4"/>
  <c r="G3" i="4" s="1"/>
  <c r="F2" i="4"/>
  <c r="G2" i="4" s="1"/>
</calcChain>
</file>

<file path=xl/sharedStrings.xml><?xml version="1.0" encoding="utf-8"?>
<sst xmlns="http://schemas.openxmlformats.org/spreadsheetml/2006/main" count="442" uniqueCount="278">
  <si>
    <t>Học viên</t>
  </si>
  <si>
    <t>Admin</t>
  </si>
  <si>
    <t>Phụ huynh</t>
  </si>
  <si>
    <t>Khách chưa đăng nhập</t>
  </si>
  <si>
    <t>Journey ID</t>
  </si>
  <si>
    <t>Actor</t>
  </si>
  <si>
    <t>Hoạt động</t>
  </si>
  <si>
    <t>Các bước chính</t>
  </si>
  <si>
    <t>Kết quả mong đợi</t>
  </si>
  <si>
    <t>UJ-HV-01</t>
  </si>
  <si>
    <t>Đăng nhập</t>
  </si>
  <si>
    <t>General</t>
  </si>
  <si>
    <t>Actor ID</t>
  </si>
  <si>
    <t>Mô tả ngắn</t>
  </si>
  <si>
    <t>Mục tiêu chính</t>
  </si>
  <si>
    <t>ACT-01</t>
  </si>
  <si>
    <t>Người tham gia học tập trên hệ thống</t>
  </si>
  <si>
    <t>Học bài, làm bài, xem kết quả</t>
  </si>
  <si>
    <t>ACT-02</t>
  </si>
  <si>
    <t>Giảng viên</t>
  </si>
  <si>
    <t>Người phụ trách giảng dạy và nội dung</t>
  </si>
  <si>
    <t>Theo dõi lớp, học liệu và kết quả</t>
  </si>
  <si>
    <t>ACT-03</t>
  </si>
  <si>
    <t>Người quản trị hệ thống</t>
  </si>
  <si>
    <t>Quản lý tài khoản, quyền và tài nguyên</t>
  </si>
  <si>
    <t>ACT-04</t>
  </si>
  <si>
    <t>Người theo dõi việc học của học viên</t>
  </si>
  <si>
    <t>Theo dõi tiến độ/kết quả nếu hệ thống hỗ trợ</t>
  </si>
  <si>
    <t>ACT-05</t>
  </si>
  <si>
    <t>Người chưa có phiên đăng nhập</t>
  </si>
  <si>
    <t>Xem phần công khai / đi tới đăng nhập</t>
  </si>
  <si>
    <t>Nhóm / Domain</t>
  </si>
  <si>
    <t>1. Mở trang đăng nhập
2. Nhập email và mật khẩu
3. Chọn Đăng nhập</t>
  </si>
  <si>
    <t>Đăng nhập thành công và vào đúng khu vực Học viên</t>
  </si>
  <si>
    <t>UJ-HV-02</t>
  </si>
  <si>
    <t>Xem khóa học</t>
  </si>
  <si>
    <t>1. Đăng nhập
2. Mở danh sách khóa học
3. Chọn khóa học</t>
  </si>
  <si>
    <t>Hiển thị đúng khóa học mà học viên được truy cập</t>
  </si>
  <si>
    <t>UJ-HV-03</t>
  </si>
  <si>
    <t>Xem bài học</t>
  </si>
  <si>
    <t>1. Chọn khóa học
2. Chọn chương
3. Chọn bài học</t>
  </si>
  <si>
    <t>Nội dung bài học hiển thị đúng và đầy đủ</t>
  </si>
  <si>
    <t>UJ-HV-04</t>
  </si>
  <si>
    <t>Làm bài Quiz</t>
  </si>
  <si>
    <t>1. Mở Quiz
2. Chọn đáp án
3. Nhấn Submit</t>
  </si>
  <si>
    <t>Bài làm được ghi nhận và kết quả được xử lý đúng</t>
  </si>
  <si>
    <t>UJ-HV-05</t>
  </si>
  <si>
    <t>Nộp bài Coding</t>
  </si>
  <si>
    <t>1. Mở bài Coding
2. Nhập code
3. Chạy thử
4. Nhấn Submit</t>
  </si>
  <si>
    <t>Code được ghi nhận và hệ thống trả kết quả đánh giá</t>
  </si>
  <si>
    <t>UJ-HV-06</t>
  </si>
  <si>
    <t>Xem kết quả</t>
  </si>
  <si>
    <t>1. Mở bài đã nộp
2. Chọn xem kết quả</t>
  </si>
  <si>
    <t>Hiển thị đúng điểm/kết quả của chính học viên</t>
  </si>
  <si>
    <t>UJ-HV-07</t>
  </si>
  <si>
    <t>AI</t>
  </si>
  <si>
    <t>Sử dụng AI Coach</t>
  </si>
  <si>
    <t>1. Mở AI Coach
2. Nhập câu hỏi
3. Gửi câu hỏi</t>
  </si>
  <si>
    <t>AI trả lời phù hợp với nội dung/context được phép</t>
  </si>
  <si>
    <t>UJ-HV-08</t>
  </si>
  <si>
    <t>Data</t>
  </si>
  <si>
    <t>Học nội dung Data</t>
  </si>
  <si>
    <t>1. Chọn khóa/nội dung Data
2. Chọn bài học
3. Xem nội dung</t>
  </si>
  <si>
    <t>Nội dung Data được hiển thị đúng</t>
  </si>
  <si>
    <t>UJ-HV-09</t>
  </si>
  <si>
    <t>Tester</t>
  </si>
  <si>
    <t>Học nội dung Tester</t>
  </si>
  <si>
    <t>1. Chọn khóa Tester
2. Chọn bài học
3. Xem nội dung</t>
  </si>
  <si>
    <t>Nội dung Tester được hiển thị đúng</t>
  </si>
  <si>
    <t>UJ-HV-10</t>
  </si>
  <si>
    <t>K3-12</t>
  </si>
  <si>
    <t>Học nội dung K3-12</t>
  </si>
  <si>
    <t>1. Chọn khóa K3-12
2. Chọn bài học
3. Xem nội dung</t>
  </si>
  <si>
    <t>Nội dung hiển thị đúng cho đối tượng học viên K3-12</t>
  </si>
  <si>
    <t>UJ-GV-01</t>
  </si>
  <si>
    <t>1. Mở trang đăng nhập
2. Nhập tài khoản
3. Đăng nhập</t>
  </si>
  <si>
    <t>Vào đúng khu vực Giảng viên</t>
  </si>
  <si>
    <t>UJ-GV-02</t>
  </si>
  <si>
    <t>Xem lớp/khóa phụ trách</t>
  </si>
  <si>
    <t>1. Đăng nhập
2. Mở lớp/khóa học
3. Chọn lớp</t>
  </si>
  <si>
    <t>Hiển thị đúng lớp/khóa mà giảng viên được phân công</t>
  </si>
  <si>
    <t>UJ-GV-03</t>
  </si>
  <si>
    <t>Xem bài nộp học viên</t>
  </si>
  <si>
    <t>1. Chọn lớp
2. Chọn bài tập
3. Mở danh sách submission</t>
  </si>
  <si>
    <t>Hiển thị đúng bài nộp của học viên</t>
  </si>
  <si>
    <t>UJ-GV-04</t>
  </si>
  <si>
    <t>Xem kết quả học viên</t>
  </si>
  <si>
    <t>1. Chọn lớp/học viên
2. Mở kết quả</t>
  </si>
  <si>
    <t>Hiển thị đúng điểm và kết quả</t>
  </si>
  <si>
    <t>UJ-GV-05</t>
  </si>
  <si>
    <t>Review học liệu</t>
  </si>
  <si>
    <t>1. Mở học liệu
2. Kiểm tra nội dung
3. Chuyển trạng thái review nếu đạt</t>
  </si>
  <si>
    <t>Học liệu được review và trạng thái được cập nhật đúng</t>
  </si>
  <si>
    <t>UJ-GV-06</t>
  </si>
  <si>
    <t>Review Quiz</t>
  </si>
  <si>
    <t>1. Mở Quiz
2. Kiểm tra câu hỏi/đáp án
3. Xác nhận review</t>
  </si>
  <si>
    <t>Quiz được review đúng trước khi publish</t>
  </si>
  <si>
    <t>UJ-AD-01</t>
  </si>
  <si>
    <t>Đăng nhập Admin</t>
  </si>
  <si>
    <t>1. Mở trang đăng nhập
2. Nhập tài khoản Admin
3. Đăng nhập</t>
  </si>
  <si>
    <t>Vào đúng khu vực quản trị</t>
  </si>
  <si>
    <t>UJ-AD-02</t>
  </si>
  <si>
    <t>Quản lý tài khoản</t>
  </si>
  <si>
    <t>1. Mở danh sách user
2. Chọn user
3. Thực hiện cập nhật cần thiết</t>
  </si>
  <si>
    <t>Thông tin tài khoản được cập nhật đúng</t>
  </si>
  <si>
    <t>UJ-AD-03</t>
  </si>
  <si>
    <t>Quản lý quyền</t>
  </si>
  <si>
    <t>1. Chọn user
2. Chọn role/quyền
3. Lưu thay đổi</t>
  </si>
  <si>
    <t>Quyền truy cập được cập nhật đúng</t>
  </si>
  <si>
    <t>UJ-AD-04</t>
  </si>
  <si>
    <t>Quản lý khóa học/tài nguyên</t>
  </si>
  <si>
    <t>1. Mở danh sách tài nguyên
2. Chọn tài nguyên
3. Thực hiện thao tác quản lý</t>
  </si>
  <si>
    <t>Dữ liệu tài nguyên được cập nhật đúng</t>
  </si>
  <si>
    <t>UJ-PH-01</t>
  </si>
  <si>
    <t>Vào đúng khu vực Phụ huynh nếu hệ thống có hỗ trợ</t>
  </si>
  <si>
    <t>UJ-PH-02</t>
  </si>
  <si>
    <t>1. Chọn học viên liên kết
2. Mở tiến độ</t>
  </si>
  <si>
    <t>Chỉ hiển thị tiến độ của học viên được phép theo dõi</t>
  </si>
  <si>
    <t>UJ-KH-01</t>
  </si>
  <si>
    <t>1. Truy cập website
2. Xem nội dung công khai</t>
  </si>
  <si>
    <t>Trang công khai hiển thị bình thường</t>
  </si>
  <si>
    <t>UJ-KH-02</t>
  </si>
  <si>
    <t>Đi tới trang đăng nhập</t>
  </si>
  <si>
    <t>1. Từ trang công khai chọn Đăng nhập</t>
  </si>
  <si>
    <t>Hiển thị đúng trang đăng nhập</t>
  </si>
  <si>
    <t>UJ-KH-03</t>
  </si>
  <si>
    <t>Thử truy cập trang cần đăng nhập</t>
  </si>
  <si>
    <t>1. Mở URL/tài nguyên yêu cầu đăng nhập</t>
  </si>
  <si>
    <t>Hệ thống từ chối truy cập hoặc yêu cầu đăng nhập</t>
  </si>
  <si>
    <t xml:space="preserve">Đăng nhập </t>
  </si>
  <si>
    <t>Category</t>
  </si>
  <si>
    <t>Risk Description</t>
  </si>
  <si>
    <t>Risk Score</t>
  </si>
  <si>
    <t>Priority</t>
  </si>
  <si>
    <t>Signal</t>
  </si>
  <si>
    <t>Mitigation</t>
  </si>
  <si>
    <t>Security</t>
  </si>
  <si>
    <t>Đăng nhập sai nhưng vẫn được cấp phiên truy cập</t>
  </si>
  <si>
    <t>QA/Security</t>
  </si>
  <si>
    <t>Học viên được cấp sai role/quyền sau đăng nhập</t>
  </si>
  <si>
    <t>Học viên thấy chức năng Admin/Giảng viên</t>
  </si>
  <si>
    <t>Hiển thị khóa học không thuộc học viên</t>
  </si>
  <si>
    <t>Backend/QA</t>
  </si>
  <si>
    <t>Content</t>
  </si>
  <si>
    <t>Bài học thiếu nội dung/link hỏng</t>
  </si>
  <si>
    <t>Content/QA</t>
  </si>
  <si>
    <t>Link lỗi, phần nội dung trống</t>
  </si>
  <si>
    <t>Submit Quiz thành công nhưng bài làm không được lưu</t>
  </si>
  <si>
    <t>Code</t>
  </si>
  <si>
    <t>Hệ thống chấm sai điểm Quiz</t>
  </si>
  <si>
    <t>Học viên xem được đáp án trước khi hoàn thành Quiz</t>
  </si>
  <si>
    <t>Hidden test bị lộ cho học viên</t>
  </si>
  <si>
    <t>Response/log chứa hidden test</t>
  </si>
  <si>
    <t>Privacy</t>
  </si>
  <si>
    <t>Học viên A xem kết quả của học viên B</t>
  </si>
  <si>
    <t>AI/QA</t>
  </si>
  <si>
    <t>AI/Security</t>
  </si>
  <si>
    <t>Học viên không biết kết quả đúng</t>
  </si>
  <si>
    <t>UX</t>
  </si>
  <si>
    <t>Nội dung K3-12 khó sử dụng trên thiết bị nhỏ</t>
  </si>
  <si>
    <t>Frontend/QA</t>
  </si>
  <si>
    <t>AI trả nội dung không phù hợp đối tượng trẻ nhỏ</t>
  </si>
  <si>
    <t>Học liệu chưa review vẫn được publish</t>
  </si>
  <si>
    <t>Product/QA</t>
  </si>
  <si>
    <t>Quiz có answer key sai/duplicate/empty</t>
  </si>
  <si>
    <t>Admin thao tác nhầm/xóa tài khoản quan trọng</t>
  </si>
  <si>
    <t>Admin/QA</t>
  </si>
  <si>
    <t>Account bị disable/delete sai</t>
  </si>
  <si>
    <t>Phân quyền sai làm user truy cập trái phép</t>
  </si>
  <si>
    <t>Admin/Security</t>
  </si>
  <si>
    <t>Khách chưa đăng nhập truy cập được tài nguyên bảo vệ</t>
  </si>
  <si>
    <t>Protected URL trả 200/content</t>
  </si>
  <si>
    <t>Bài học tải chậm gây trải nghiệm kém</t>
  </si>
  <si>
    <t>Xem tiến độ học viên</t>
  </si>
  <si>
    <t>Xem trang công khai</t>
  </si>
  <si>
    <t>User sai thông tin xác thực( sai mật khẩu, sai tài khoản sai) vẫn vào hệ thống</t>
  </si>
  <si>
    <t>thuật ngữ không nhất quán</t>
  </si>
  <si>
    <t>điểm thực tế khác đáp án chuẩn</t>
  </si>
  <si>
    <t>Lộ đáp án trước khi submit</t>
  </si>
  <si>
    <t>truy cập thấy kết quả sai so với kết quả của mình</t>
  </si>
  <si>
    <t>AI Coach trích dẫn sai</t>
  </si>
  <si>
    <t>Nội dung đưa ra bất thương</t>
  </si>
  <si>
    <t xml:space="preserve">UI vỡ hoặc khó thao tác </t>
  </si>
  <si>
    <t>Nội dung không an toàn cho trẻ em</t>
  </si>
  <si>
    <t>Ánh xạ mã khóa học/người dùng không chính xác</t>
  </si>
  <si>
    <t>Không có bài nộp hoặc dữ liệu bài nộp bị mất</t>
  </si>
  <si>
    <t>Thời gian tải trang hoặc độ trễ vượt quá mức tiêu chuẩn</t>
  </si>
  <si>
    <t>phân quyền sai so với người dùng</t>
  </si>
  <si>
    <t>Bộ kiểm tra đưa ra cảnh báo hoặc kết quả chấm điểm bất thường</t>
  </si>
  <si>
    <t>Bản nháp chuyển thẳng sang trạng thái đã xuất bản</t>
  </si>
  <si>
    <t>UJ-GV-07</t>
  </si>
  <si>
    <t>File học liệu (Markdown/JSON) bị sai định dạng làm hỏng giao diện bài học</t>
  </si>
  <si>
    <t>Nội dung file bị sai định dạng lỗi font chưa</t>
  </si>
  <si>
    <t>UJ-HV-11</t>
  </si>
  <si>
    <t>AI Coach trả lời bằng ngôn ngữ độc hại nhảy cảm không phù hợp với lứa tuổi k3-12</t>
  </si>
  <si>
    <t xml:space="preserve">&gt;=20 </t>
  </si>
  <si>
    <t>critical</t>
  </si>
  <si>
    <t>15-19</t>
  </si>
  <si>
    <t>high</t>
  </si>
  <si>
    <t>8-&gt;14</t>
  </si>
  <si>
    <t>medium</t>
  </si>
  <si>
    <t>&lt;8</t>
  </si>
  <si>
    <t>Low</t>
  </si>
  <si>
    <t>AI đưa ra những nội dung không phù hợp với độ tuổi của học viên</t>
  </si>
  <si>
    <t>thêm bảo mật or thêm các bước xác nhận để xóa</t>
  </si>
  <si>
    <t>UJ-HV-12</t>
  </si>
  <si>
    <t>AI Coach phản hồi quá chậm (&gt; 10-15 giây) khiến giao diện người dùng bị treo hoặc treo luồng Chat</t>
  </si>
  <si>
    <t>Risk ID</t>
  </si>
  <si>
    <t>Probability</t>
  </si>
  <si>
    <t>Impact</t>
  </si>
  <si>
    <t>Score</t>
  </si>
  <si>
    <t>Lý do ưu tiên</t>
  </si>
  <si>
    <t>AI đưa ra phản hồi quá chậm</t>
  </si>
  <si>
    <t>Category( loại)</t>
  </si>
  <si>
    <t>Probability(Mức độ thể xảy ra)
(1-5)</t>
  </si>
  <si>
    <t>Impact(Mức độ ảnh hưởng)
(1-5)</t>
  </si>
  <si>
    <t>Priority( Mức độ ưu tiên)</t>
  </si>
  <si>
    <t>Owner( Người chịu trách nhiệm)</t>
  </si>
  <si>
    <t>Nội dung Data sai thuật ngữ hoặc sai điều kiện kiên quyết</t>
  </si>
  <si>
    <t>Nội dung Tester có ví dụ mơ hồ/không cụ thể</t>
  </si>
  <si>
    <t>Hiếm (Rare): Rất ít khi xảy ra, chỉ xuất hiện trong điều kiện cực kỳ bất thường</t>
  </si>
  <si>
    <t>Khó xảy ra (Unlikely): Có thể xảy ra nhưng chưa từng ghi nhận trong quá khứ gần (xác suất 5% - 20%).</t>
  </si>
  <si>
    <t>Thỉnh thoảng (Possible): Có khả năng xảy ra đôi lần trong vòng đời hệ thống</t>
  </si>
  <si>
    <t>Dễ xảy ra (Likely): Thường xuyên xảy ra đối với các hệ thống tương tự hoặc định kỳ (xác suất 50% - 80%).</t>
  </si>
  <si>
    <t>Rất dễ xảy ra (Almost Certain): Hầu như chắc chắn xảy ra hoặc sự việc đang diễn ra liên tục</t>
  </si>
  <si>
    <t>Bổ sung thêm kiểm thử cho trường hợp đăng nhập sai</t>
  </si>
  <si>
    <t>Áp dụng phân quyền và kiểm thử từng role</t>
  </si>
  <si>
    <t>bỏ sung thêm kiểm thử cho phần chức năng của học viên</t>
  </si>
  <si>
    <t>Lưu bài nộp theo giao dịch dữ liệu và cơ chế chống ghi trùng</t>
  </si>
  <si>
    <t>Dùng đáp án chuẩn làm nguồn đối chiếu; tạo bộ dữ liệu kiểm thử có kết quả biết trước và chạy kiểm thử hồi quy tự động để so sánh điểm sau mỗi thay đổi.</t>
  </si>
  <si>
    <t>Áp dụng nguyên tắc mặc định từ chối truy cập cho các chức năng nhạy cảm</t>
  </si>
  <si>
    <t>Bắt buộc lớp xác thực cho mọi tài nguyên được bảo vệ</t>
  </si>
  <si>
    <t>Chạy công cụ kiểm tra nội dung và liên kết trước khi xuất bản; bắt buộc các trường nội dung tối thiểu và chặn xuất bản nếu có liên kết hỏng hoặc phần bắt buộc bị trống</t>
  </si>
  <si>
    <t>Dùng bộ kiểm tra trích dẫn và mức độ có căn cứ; yêu cầu nguồn phải hỗ trợ cho thông tin AI đưa ra, kiểm tra thủ công theo mẫu và yêu cầu AI từ chối trả lời khi không có đủ căn cứ.</t>
  </si>
  <si>
    <t>Chuẩn hóa mẫu ví dụ với dữ liệu đầu vào, các bước thực hiện và kết quả mong đợi;</t>
  </si>
  <si>
    <t>Bổ sung cơ chế bảo vệ an toàn và quy tắc nội dung theo độ tuổi; kiểm thử đối kháng với nội dung độc hại hoặc nhạy cảm, chặn kết quả hoặc chuyển sang người kiểm duyệt khi phát hiện nội dung không phù hợp.</t>
  </si>
  <si>
    <t>Kiểm tra khả năng hiển thị trên điện thoại, máy tính bảng, máy tính và thao tác bằng bàn phím; điều chỉnh bố cục theo kích thước màn hình, ưu tiên luồng học tập quan trọng trên màn hình nhỏ.</t>
  </si>
  <si>
    <t>Không gửi đáp án chuẩn về phía trình duyệt trước khi học viên nộp bài; kiểm tra dữ liệu trả về của API, nhật ký hệ thống và luồng mạng, đồng thời tạo kiểm thử hồi quy chống lộ đáp án.</t>
  </si>
  <si>
    <t>tăng thêm trường hợp kiểm thử ở role học viên</t>
  </si>
  <si>
    <t>Áp dụng kiểm tra quyền truy cập theo từng đối tượng dựa trên người dùng trong phiên</t>
  </si>
  <si>
    <t>Luồng đăng nhập là cửa ngõ của hệ thống; nếu người dùng nhập sai thông tin mà vẫn truy cập được thì có thể dẫn đến truy cập trái phép, lộ dữ liệu và ảnh hưởng nhiều chức năng khác.</t>
  </si>
  <si>
    <t>Nếu học viên được cấp sai vai trò sau đăng nhập, họ có thể sử dụng chức năng của Giảng viên hoặc Quản trị viên; mức ảnh hưởng bảo mật rất lớn nên cần xử lý sớm.</t>
  </si>
  <si>
    <t>Hiển thị khóa học không thuộc học viên có thể làm lộ dữ liệu và sai phạm vi truy cập; rủi ro này ảnh hưởng trực tiếp đến quyền riêng tư và tính chính xác của hệ thống.</t>
  </si>
  <si>
    <t>Bài trắc nghiệm báo nộp thành công nhưng không được lưu sẽ làm mất công sức và dữ liệu đánh giá của học viên; đây là luồng học tập quan trọng nên cần ưu tiên cao.</t>
  </si>
  <si>
    <t>Chấm sai điểm ảnh hưởng trực tiếp đến kết quả học tập và độ tin cậy của hệ thống đánh giá; vì vậy cần được kiểm soát trước khi mở rộng kiểm thử tự động.</t>
  </si>
  <si>
    <t>Phân quyền sai có thể cho phép người dùng truy cập chức năng hoặc dữ liệu không được phép; đây là rủi ro bảo mật có mức ảnh hưởng rất cao.</t>
  </si>
  <si>
    <t>Khách chưa đăng nhập vẫn truy cập được tài nguyên được bảo vệ cho thấy cơ chế xác thực hoặc phân quyền có thể bị vượt qua, từ đó gây lộ nội dung hoặc dữ liệu.</t>
  </si>
  <si>
    <t>Lỗi nội dung hoặc liên kết hỏng có khả năng xuất hiện tương đối cao và ảnh hưởng trực tiếp đến trải nghiệm học tập; nên có cơ chế kiểm tra tự động trước khi xuất bản.</t>
  </si>
  <si>
    <t>Trích dẫn sai làm câu trả lời của AI thiếu căn cứ và giảm độ tin cậy; đây là dạng lỗi quan trọng của hệ thống AI/RAG nên cần đưa vào bộ đánh giá sớm.</t>
  </si>
  <si>
    <t>Ví dụ Tester mơ hồ dễ khiến học viên hiểu sai cách viết bước kiểm thử hoặc kết quả mong đợi; xác suất gặp tương đối cao nên cần chuẩn hóa nội dung sớm.</t>
  </si>
  <si>
    <t>Nhóm K3-12 có thể sử dụng nhiều loại thiết bị, đặc biệt là màn hình nhỏ; giao diện khó thao tác có thể làm gián đoạn luồng học tập chính của nhóm người dùng mục tiêu.</t>
  </si>
  <si>
    <t>Nội dung AI độc hại hoặc nhạy cảm đối với K3-12 có thể gây hậu quả nghiêm trọng về an toàn trẻ em và uy tín sản phẩm; cần có cơ chế bảo vệ và kiểm thử đối kháng ngay từ đầu.</t>
  </si>
  <si>
    <t>Lộ đáp án trước khi học viên nộp bài phá vỡ tính công bằng của bài trắc nghiệm và làm sai giá trị đánh giá; mức ảnh hưởng cao dù xác suất được ước tính thấp hơn nhóm rủi ro cao.</t>
  </si>
  <si>
    <t>Lộ bộ kiểm thử ẩn làm mất tính toàn vẹn của bài Coding và có thể bị lợi dụng để vượt qua bài kiểm tra không đúng năng lực; cần kiểm soát chặt ở phía máy chủ và nhật ký hệ thống.</t>
  </si>
  <si>
    <t>Học viên xem được kết quả của người khác là vi phạm quyền riêng tư và quyền truy cập theo đối tượng; mức ảnh hưởng rất cao nên cần có kiểm thử hồi quy IDOR.</t>
  </si>
  <si>
    <t>AI trả nội dung không phù hợp cho trẻ nhỏ là rủi ro an toàn có hậu quả nghiêm trọng; vì vậy vẫn cần ưu tiên kiểm soát dù xác suất ước tính thấp hơn.</t>
  </si>
  <si>
    <t>Học liệu chưa được duyệt mà vẫn xuất bản có thể đưa nội dung sai đến nhiều học viên; cần thiết lập cổng kiểm soát chất lượng rõ ràng trước khi phát hành.</t>
  </si>
  <si>
    <t>Sai thuật ngữ hoặc điều kiện tiên quyết có thể khiến người học hiểu sai kiến thức và gây ảnh hưởng dây chuyền đến các bài sau; cần kiểm tra nội dung và rà soát trước khi xuất bản.</t>
  </si>
  <si>
    <t>Bài học tải chậm ảnh hưởng đến nhiều người dùng và có thể làm tăng tỷ lệ bỏ dở; nên thiết lập mức hiệu năng cơ sở để phát hiện sớm tình trạng suy giảm.</t>
  </si>
  <si>
    <t>Đáp án chuẩn sai, nội dung trùng hoặc trường trống ảnh hưởng trực tiếp đến việc chấm điểm và chất lượng bài đánh giá; các lỗi này có thể kiểm tra tự động nên cần đưa vào kế hoạch xử lý sớm.</t>
  </si>
  <si>
    <t>Áp dụng chính sách an toàn riêng cho trẻ em, bộ lọc nội dung và bước kiểm duyệt của con người với trường hợp nhạy cảm; duy trì bộ kiểm thử đối kháng về an toàn trẻ em.</t>
  </si>
  <si>
    <t>Tài Học liệu chưa review vẫn được publish</t>
  </si>
  <si>
    <t>Bắt buộc quy trình Bản nháp -&gt; Đã duyệt -&gt; Đã xuất bản; chỉ người có quyền duyệt mới được xác nhận, lưu lịch sử thao tác và chặn xuất bản khi chưa đủ điều kiện.</t>
  </si>
  <si>
    <t>Dùng bảng thuật ngữ và danh sách kiểm tra điều kiện tiên quyết; chạy công cụ kiểm tra nội dung và yêu cầu giảng viên hoặc chuyên gia rà soát trước khi xuất bản.</t>
  </si>
  <si>
    <t>Thiết lập mức hiệu năng cơ sở và ngưỡng cảnh báo; tối ưu tài nguyên, bộ nhớ đệm và tải chậm có kiểm soát, đồng thời theo dõi thời gian tải trang để phát hiện suy giảm hiệu năng.</t>
  </si>
  <si>
    <t>Chạy bộ kiểm tra câu hỏi trắc nghiệm để phát hiện đáp án chuẩn sai, nội dung trùng, trường trống và câu hỏi mơ hồ; chặn xuất bản khi có lỗi nghiêm trọng</t>
  </si>
  <si>
    <t>Đặt thời gian chờ tối đa và ngưỡng độ trễ cho AI</t>
  </si>
  <si>
    <t>Kiểm tra cấu trúc và khả năng đọc của tệp Markdown/JSON trước khi xuất bản; chạy kiểm tra cú pháp kết hợp xem trước giao diện và chặn tệp không hợp lệ làm hỏng trang bài học.</t>
  </si>
  <si>
    <t>ID</t>
  </si>
  <si>
    <t>QA-01</t>
  </si>
  <si>
    <t>Ngày</t>
  </si>
  <si>
    <t>Công việc QA</t>
  </si>
  <si>
    <t>Xác định user journey, nhận diện rủi ro và đánh giá Probability × Impact để xây dựng bản đồ rủi ro chất lượng</t>
  </si>
  <si>
    <t>Risk liên quan</t>
  </si>
  <si>
    <t>QA-02</t>
  </si>
  <si>
    <t>Cao</t>
  </si>
  <si>
    <t>Mức ưu tiên</t>
  </si>
  <si>
    <t>Hoàn thành Risk Register, Top 20 Risks và kế hoạch QA 30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</si>
</sst>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rgb="FFFFFFFF"/>
      <name val="Carlito"/>
    </font>
  </fonts>
  <fills count="3">
    <fill>
      <patternFill patternType="none"/>
    </fill>
    <fill>
      <patternFill patternType="gray125"/>
    </fill>
    <fill>
      <patternFill patternType="solid">
        <fgColor rgb="FF5B9BD5"/>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vertical="top" wrapText="1"/>
    </xf>
    <xf numFmtId="16" fontId="0" fillId="0" borderId="0" xfId="0" applyNumberFormat="1"/>
    <xf numFmtId="0" fontId="1" fillId="2" borderId="0" xfId="0" applyFont="1" applyFill="1" applyAlignment="1">
      <alignment horizontal="center" vertical="top" wrapText="1"/>
    </xf>
  </cellXfs>
  <cellStyles count="1">
    <cellStyle name="Normal" xfId="0" builtinId="0"/>
  </cellStyles>
  <dxfs count="2">
    <dxf>
      <fill>
        <patternFill patternType="solid">
          <bgColor rgb="FFE2F0D9"/>
        </patternFill>
      </fill>
    </dxf>
    <dxf>
      <fill>
        <patternFill patternType="solid">
          <bgColor rgb="FFE4DFE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08D5-6FA0-4DEB-B887-36A98E721674}">
  <dimension ref="A1:D7"/>
  <sheetViews>
    <sheetView workbookViewId="0">
      <selection activeCell="G2" sqref="G2"/>
    </sheetView>
  </sheetViews>
  <sheetFormatPr defaultRowHeight="15"/>
  <cols>
    <col min="1" max="1" width="28.140625" customWidth="1"/>
    <col min="2" max="2" width="43.7109375" customWidth="1"/>
    <col min="3" max="3" width="29.42578125" customWidth="1"/>
    <col min="4" max="4" width="38.28515625" customWidth="1"/>
  </cols>
  <sheetData>
    <row r="1" spans="1:4">
      <c r="A1" s="2" t="s">
        <v>12</v>
      </c>
      <c r="B1" s="2" t="s">
        <v>5</v>
      </c>
      <c r="C1" s="2" t="s">
        <v>13</v>
      </c>
      <c r="D1" s="2" t="s">
        <v>14</v>
      </c>
    </row>
    <row r="2" spans="1:4" ht="30">
      <c r="A2" s="3" t="s">
        <v>15</v>
      </c>
      <c r="B2" s="3" t="s">
        <v>0</v>
      </c>
      <c r="C2" s="3" t="s">
        <v>16</v>
      </c>
      <c r="D2" s="3" t="s">
        <v>17</v>
      </c>
    </row>
    <row r="3" spans="1:4" ht="30">
      <c r="A3" s="3" t="s">
        <v>18</v>
      </c>
      <c r="B3" s="3" t="s">
        <v>19</v>
      </c>
      <c r="C3" s="3" t="s">
        <v>20</v>
      </c>
      <c r="D3" s="3" t="s">
        <v>21</v>
      </c>
    </row>
    <row r="4" spans="1:4">
      <c r="A4" s="3" t="s">
        <v>22</v>
      </c>
      <c r="B4" s="3" t="s">
        <v>1</v>
      </c>
      <c r="C4" s="3" t="s">
        <v>23</v>
      </c>
      <c r="D4" s="3" t="s">
        <v>24</v>
      </c>
    </row>
    <row r="5" spans="1:4" ht="30">
      <c r="A5" s="3" t="s">
        <v>25</v>
      </c>
      <c r="B5" s="3" t="s">
        <v>2</v>
      </c>
      <c r="C5" s="3" t="s">
        <v>26</v>
      </c>
      <c r="D5" s="3" t="s">
        <v>27</v>
      </c>
    </row>
    <row r="6" spans="1:4">
      <c r="A6" s="3" t="s">
        <v>28</v>
      </c>
      <c r="B6" s="3" t="s">
        <v>3</v>
      </c>
      <c r="C6" s="3" t="s">
        <v>29</v>
      </c>
      <c r="D6" s="3" t="s">
        <v>30</v>
      </c>
    </row>
    <row r="7" spans="1:4">
      <c r="A7" s="1"/>
      <c r="B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465D-FBF0-477E-851B-F9EE26463447}">
  <dimension ref="A1:F26"/>
  <sheetViews>
    <sheetView workbookViewId="0">
      <selection activeCell="B8" sqref="B8"/>
    </sheetView>
  </sheetViews>
  <sheetFormatPr defaultRowHeight="15"/>
  <cols>
    <col min="1" max="1" width="20.85546875" customWidth="1"/>
    <col min="2" max="2" width="28.7109375" customWidth="1"/>
    <col min="3" max="3" width="20.85546875" customWidth="1"/>
    <col min="4" max="4" width="26.140625" customWidth="1"/>
    <col min="5" max="5" width="26.85546875" customWidth="1"/>
    <col min="6" max="6" width="46" customWidth="1"/>
  </cols>
  <sheetData>
    <row r="1" spans="1:6">
      <c r="A1" s="2" t="s">
        <v>4</v>
      </c>
      <c r="B1" s="2" t="s">
        <v>5</v>
      </c>
      <c r="C1" s="2" t="s">
        <v>31</v>
      </c>
      <c r="D1" s="2" t="s">
        <v>6</v>
      </c>
      <c r="E1" s="2" t="s">
        <v>7</v>
      </c>
      <c r="F1" s="2" t="s">
        <v>8</v>
      </c>
    </row>
    <row r="2" spans="1:6" ht="52.5" customHeight="1">
      <c r="A2" s="3" t="s">
        <v>9</v>
      </c>
      <c r="B2" s="3" t="s">
        <v>0</v>
      </c>
      <c r="C2" s="3" t="s">
        <v>11</v>
      </c>
      <c r="D2" s="3" t="s">
        <v>10</v>
      </c>
      <c r="E2" s="3" t="s">
        <v>32</v>
      </c>
      <c r="F2" s="3" t="s">
        <v>33</v>
      </c>
    </row>
    <row r="3" spans="1:6" ht="45">
      <c r="A3" s="3" t="s">
        <v>34</v>
      </c>
      <c r="B3" s="3" t="s">
        <v>0</v>
      </c>
      <c r="C3" s="3" t="s">
        <v>11</v>
      </c>
      <c r="D3" s="3" t="s">
        <v>35</v>
      </c>
      <c r="E3" s="3" t="s">
        <v>36</v>
      </c>
      <c r="F3" s="3" t="s">
        <v>37</v>
      </c>
    </row>
    <row r="4" spans="1:6" ht="45">
      <c r="A4" s="3" t="s">
        <v>38</v>
      </c>
      <c r="B4" s="3" t="s">
        <v>0</v>
      </c>
      <c r="C4" s="3" t="s">
        <v>11</v>
      </c>
      <c r="D4" s="3" t="s">
        <v>39</v>
      </c>
      <c r="E4" s="3" t="s">
        <v>40</v>
      </c>
      <c r="F4" s="3" t="s">
        <v>41</v>
      </c>
    </row>
    <row r="5" spans="1:6" ht="45">
      <c r="A5" s="3" t="s">
        <v>42</v>
      </c>
      <c r="B5" s="3" t="s">
        <v>0</v>
      </c>
      <c r="C5" s="3" t="s">
        <v>11</v>
      </c>
      <c r="D5" s="3" t="s">
        <v>43</v>
      </c>
      <c r="E5" s="3" t="s">
        <v>44</v>
      </c>
      <c r="F5" s="3" t="s">
        <v>45</v>
      </c>
    </row>
    <row r="6" spans="1:6" ht="60">
      <c r="A6" s="3" t="s">
        <v>46</v>
      </c>
      <c r="B6" s="3" t="s">
        <v>0</v>
      </c>
      <c r="C6" s="3" t="s">
        <v>11</v>
      </c>
      <c r="D6" s="3" t="s">
        <v>47</v>
      </c>
      <c r="E6" s="3" t="s">
        <v>48</v>
      </c>
      <c r="F6" s="3" t="s">
        <v>49</v>
      </c>
    </row>
    <row r="7" spans="1:6" ht="30">
      <c r="A7" s="3" t="s">
        <v>50</v>
      </c>
      <c r="B7" s="3" t="s">
        <v>0</v>
      </c>
      <c r="C7" s="3" t="s">
        <v>11</v>
      </c>
      <c r="D7" s="3" t="s">
        <v>51</v>
      </c>
      <c r="E7" s="3" t="s">
        <v>52</v>
      </c>
      <c r="F7" s="3" t="s">
        <v>53</v>
      </c>
    </row>
    <row r="8" spans="1:6" ht="45">
      <c r="A8" s="3" t="s">
        <v>54</v>
      </c>
      <c r="B8" s="3" t="s">
        <v>0</v>
      </c>
      <c r="C8" s="3" t="s">
        <v>55</v>
      </c>
      <c r="D8" s="3" t="s">
        <v>56</v>
      </c>
      <c r="E8" s="3" t="s">
        <v>57</v>
      </c>
      <c r="F8" s="3" t="s">
        <v>58</v>
      </c>
    </row>
    <row r="9" spans="1:6" ht="45">
      <c r="A9" s="3" t="s">
        <v>59</v>
      </c>
      <c r="B9" s="3" t="s">
        <v>0</v>
      </c>
      <c r="C9" s="3" t="s">
        <v>60</v>
      </c>
      <c r="D9" s="3" t="s">
        <v>61</v>
      </c>
      <c r="E9" s="3" t="s">
        <v>62</v>
      </c>
      <c r="F9" s="3" t="s">
        <v>63</v>
      </c>
    </row>
    <row r="10" spans="1:6" ht="45">
      <c r="A10" s="3" t="s">
        <v>64</v>
      </c>
      <c r="B10" s="3" t="s">
        <v>0</v>
      </c>
      <c r="C10" s="3" t="s">
        <v>65</v>
      </c>
      <c r="D10" s="3" t="s">
        <v>66</v>
      </c>
      <c r="E10" s="3" t="s">
        <v>67</v>
      </c>
      <c r="F10" s="3" t="s">
        <v>68</v>
      </c>
    </row>
    <row r="11" spans="1:6" ht="45">
      <c r="A11" s="3" t="s">
        <v>69</v>
      </c>
      <c r="B11" s="3" t="s">
        <v>0</v>
      </c>
      <c r="C11" s="3" t="s">
        <v>70</v>
      </c>
      <c r="D11" s="3" t="s">
        <v>71</v>
      </c>
      <c r="E11" s="3" t="s">
        <v>72</v>
      </c>
      <c r="F11" s="3" t="s">
        <v>73</v>
      </c>
    </row>
    <row r="12" spans="1:6" ht="45">
      <c r="A12" s="3" t="s">
        <v>74</v>
      </c>
      <c r="B12" s="3" t="s">
        <v>19</v>
      </c>
      <c r="C12" s="3" t="s">
        <v>11</v>
      </c>
      <c r="D12" s="3" t="s">
        <v>10</v>
      </c>
      <c r="E12" s="3" t="s">
        <v>75</v>
      </c>
      <c r="F12" s="3" t="s">
        <v>76</v>
      </c>
    </row>
    <row r="13" spans="1:6" ht="45">
      <c r="A13" s="3" t="s">
        <v>77</v>
      </c>
      <c r="B13" s="3" t="s">
        <v>19</v>
      </c>
      <c r="C13" s="3" t="s">
        <v>11</v>
      </c>
      <c r="D13" s="3" t="s">
        <v>78</v>
      </c>
      <c r="E13" s="3" t="s">
        <v>79</v>
      </c>
      <c r="F13" s="3" t="s">
        <v>80</v>
      </c>
    </row>
    <row r="14" spans="1:6" ht="45">
      <c r="A14" s="3" t="s">
        <v>81</v>
      </c>
      <c r="B14" s="3" t="s">
        <v>19</v>
      </c>
      <c r="C14" s="3" t="s">
        <v>11</v>
      </c>
      <c r="D14" s="3" t="s">
        <v>82</v>
      </c>
      <c r="E14" s="3" t="s">
        <v>83</v>
      </c>
      <c r="F14" s="3" t="s">
        <v>84</v>
      </c>
    </row>
    <row r="15" spans="1:6" ht="30">
      <c r="A15" s="3" t="s">
        <v>85</v>
      </c>
      <c r="B15" s="3" t="s">
        <v>19</v>
      </c>
      <c r="C15" s="3" t="s">
        <v>11</v>
      </c>
      <c r="D15" s="3" t="s">
        <v>86</v>
      </c>
      <c r="E15" s="3" t="s">
        <v>87</v>
      </c>
      <c r="F15" s="3" t="s">
        <v>88</v>
      </c>
    </row>
    <row r="16" spans="1:6" ht="60">
      <c r="A16" s="3" t="s">
        <v>89</v>
      </c>
      <c r="B16" s="3" t="s">
        <v>19</v>
      </c>
      <c r="C16" s="3" t="s">
        <v>11</v>
      </c>
      <c r="D16" s="3" t="s">
        <v>90</v>
      </c>
      <c r="E16" s="3" t="s">
        <v>91</v>
      </c>
      <c r="F16" s="3" t="s">
        <v>92</v>
      </c>
    </row>
    <row r="17" spans="1:6" ht="45">
      <c r="A17" s="3" t="s">
        <v>93</v>
      </c>
      <c r="B17" s="3" t="s">
        <v>19</v>
      </c>
      <c r="C17" s="3" t="s">
        <v>11</v>
      </c>
      <c r="D17" s="3" t="s">
        <v>94</v>
      </c>
      <c r="E17" s="3" t="s">
        <v>95</v>
      </c>
      <c r="F17" s="3" t="s">
        <v>96</v>
      </c>
    </row>
    <row r="18" spans="1:6" ht="45">
      <c r="A18" s="3" t="s">
        <v>97</v>
      </c>
      <c r="B18" s="3" t="s">
        <v>1</v>
      </c>
      <c r="C18" s="3" t="s">
        <v>11</v>
      </c>
      <c r="D18" s="3" t="s">
        <v>98</v>
      </c>
      <c r="E18" s="3" t="s">
        <v>99</v>
      </c>
      <c r="F18" s="3" t="s">
        <v>100</v>
      </c>
    </row>
    <row r="19" spans="1:6" ht="60">
      <c r="A19" s="3" t="s">
        <v>101</v>
      </c>
      <c r="B19" s="3" t="s">
        <v>1</v>
      </c>
      <c r="C19" s="3" t="s">
        <v>11</v>
      </c>
      <c r="D19" s="3" t="s">
        <v>102</v>
      </c>
      <c r="E19" s="3" t="s">
        <v>103</v>
      </c>
      <c r="F19" s="3" t="s">
        <v>104</v>
      </c>
    </row>
    <row r="20" spans="1:6" ht="45">
      <c r="A20" s="3" t="s">
        <v>105</v>
      </c>
      <c r="B20" s="3" t="s">
        <v>1</v>
      </c>
      <c r="C20" s="3" t="s">
        <v>11</v>
      </c>
      <c r="D20" s="3" t="s">
        <v>106</v>
      </c>
      <c r="E20" s="3" t="s">
        <v>107</v>
      </c>
      <c r="F20" s="3" t="s">
        <v>108</v>
      </c>
    </row>
    <row r="21" spans="1:6" ht="45">
      <c r="A21" s="3" t="s">
        <v>109</v>
      </c>
      <c r="B21" s="3" t="s">
        <v>1</v>
      </c>
      <c r="C21" s="3" t="s">
        <v>11</v>
      </c>
      <c r="D21" s="3" t="s">
        <v>110</v>
      </c>
      <c r="E21" s="3" t="s">
        <v>111</v>
      </c>
      <c r="F21" s="3" t="s">
        <v>112</v>
      </c>
    </row>
    <row r="22" spans="1:6" ht="45">
      <c r="A22" s="3" t="s">
        <v>113</v>
      </c>
      <c r="B22" s="3" t="s">
        <v>2</v>
      </c>
      <c r="C22" s="3" t="s">
        <v>11</v>
      </c>
      <c r="D22" s="3" t="s">
        <v>129</v>
      </c>
      <c r="E22" s="3" t="s">
        <v>75</v>
      </c>
      <c r="F22" s="3" t="s">
        <v>114</v>
      </c>
    </row>
    <row r="23" spans="1:6" ht="30">
      <c r="A23" s="3" t="s">
        <v>115</v>
      </c>
      <c r="B23" s="3" t="s">
        <v>2</v>
      </c>
      <c r="C23" s="3" t="s">
        <v>11</v>
      </c>
      <c r="D23" s="3" t="s">
        <v>173</v>
      </c>
      <c r="E23" s="3" t="s">
        <v>116</v>
      </c>
      <c r="F23" s="3" t="s">
        <v>117</v>
      </c>
    </row>
    <row r="24" spans="1:6" ht="30">
      <c r="A24" s="3" t="s">
        <v>118</v>
      </c>
      <c r="B24" s="3" t="s">
        <v>3</v>
      </c>
      <c r="C24" s="3" t="s">
        <v>11</v>
      </c>
      <c r="D24" s="3" t="s">
        <v>174</v>
      </c>
      <c r="E24" s="3" t="s">
        <v>119</v>
      </c>
      <c r="F24" s="3" t="s">
        <v>120</v>
      </c>
    </row>
    <row r="25" spans="1:6" ht="30">
      <c r="A25" s="3" t="s">
        <v>121</v>
      </c>
      <c r="B25" s="3" t="s">
        <v>3</v>
      </c>
      <c r="C25" s="3" t="s">
        <v>11</v>
      </c>
      <c r="D25" s="3" t="s">
        <v>122</v>
      </c>
      <c r="E25" s="3" t="s">
        <v>123</v>
      </c>
      <c r="F25" s="3" t="s">
        <v>124</v>
      </c>
    </row>
    <row r="26" spans="1:6" ht="30">
      <c r="A26" s="3" t="s">
        <v>125</v>
      </c>
      <c r="B26" s="3" t="s">
        <v>3</v>
      </c>
      <c r="C26" s="3" t="s">
        <v>11</v>
      </c>
      <c r="D26" s="3" t="s">
        <v>126</v>
      </c>
      <c r="E26" s="3" t="s">
        <v>127</v>
      </c>
      <c r="F26" s="3" t="s">
        <v>128</v>
      </c>
    </row>
  </sheetData>
  <conditionalFormatting sqref="C2:C7 C9 C11:C26">
    <cfRule type="expression" dxfId="1" priority="1">
      <formula>C2="AI"</formula>
    </cfRule>
    <cfRule type="expression" dxfId="0" priority="2">
      <formula>C2="Tester"</formula>
    </cfRule>
  </conditionalFormatting>
  <dataValidations count="2">
    <dataValidation type="list" sqref="C2:C26" xr:uid="{2E41C1F4-551F-4AF7-AAC6-C55431D919EA}">
      <formula1>"General,Data,AI,Tester,K3-12"</formula1>
    </dataValidation>
    <dataValidation type="list" sqref="B2:B26" xr:uid="{D17E36B6-5B63-4C4D-A4B7-38AADA2AF9F6}">
      <formula1>"Học viên,Giảng viên,Admin,Phụ huynh,Khách chưa đăng nhập"</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E2403-6B32-483B-AA12-4843E70C3197}">
  <dimension ref="A1:M51"/>
  <sheetViews>
    <sheetView topLeftCell="A22" zoomScale="115" zoomScaleNormal="115" workbookViewId="0">
      <selection activeCell="L24" sqref="L24"/>
    </sheetView>
  </sheetViews>
  <sheetFormatPr defaultRowHeight="15"/>
  <cols>
    <col min="1" max="1" width="13.140625" customWidth="1"/>
    <col min="2" max="2" width="12.140625" customWidth="1"/>
    <col min="3" max="3" width="29.28515625" customWidth="1"/>
    <col min="4" max="4" width="17.7109375" customWidth="1"/>
    <col min="5" max="5" width="14.7109375" customWidth="1"/>
    <col min="6" max="6" width="17.85546875" customWidth="1"/>
    <col min="7" max="7" width="20.28515625" customWidth="1"/>
    <col min="8" max="8" width="16.42578125" customWidth="1"/>
    <col min="9" max="9" width="26.85546875" customWidth="1"/>
    <col min="10" max="10" width="19.28515625" customWidth="1"/>
  </cols>
  <sheetData>
    <row r="1" spans="1:13" ht="60">
      <c r="A1" s="2" t="s">
        <v>4</v>
      </c>
      <c r="B1" s="2" t="s">
        <v>213</v>
      </c>
      <c r="C1" s="2" t="s">
        <v>131</v>
      </c>
      <c r="D1" s="2" t="s">
        <v>214</v>
      </c>
      <c r="E1" s="2" t="s">
        <v>215</v>
      </c>
      <c r="F1" s="2" t="s">
        <v>132</v>
      </c>
      <c r="G1" s="2" t="s">
        <v>216</v>
      </c>
      <c r="H1" s="2" t="s">
        <v>217</v>
      </c>
      <c r="I1" s="2" t="s">
        <v>134</v>
      </c>
      <c r="J1" s="2" t="s">
        <v>135</v>
      </c>
    </row>
    <row r="2" spans="1:13" ht="45">
      <c r="A2" s="3" t="s">
        <v>9</v>
      </c>
      <c r="B2" s="3" t="s">
        <v>136</v>
      </c>
      <c r="C2" s="3" t="s">
        <v>137</v>
      </c>
      <c r="D2" s="3">
        <v>3</v>
      </c>
      <c r="E2" s="3">
        <v>5</v>
      </c>
      <c r="F2" s="3">
        <f t="shared" ref="F2:F24" si="0">D2*E2</f>
        <v>15</v>
      </c>
      <c r="G2" s="3" t="str">
        <f t="shared" ref="G2:G24" si="1">IF(F2&gt;=20,"Critical",IF(F2&gt;=15,"High",IF(F2&gt;=8,"Medium","Low")))</f>
        <v>High</v>
      </c>
      <c r="H2" s="3" t="s">
        <v>138</v>
      </c>
      <c r="I2" s="3" t="s">
        <v>175</v>
      </c>
      <c r="J2" s="3" t="s">
        <v>225</v>
      </c>
      <c r="L2" s="3"/>
      <c r="M2" s="3"/>
    </row>
    <row r="3" spans="1:13" ht="45">
      <c r="A3" s="3" t="s">
        <v>9</v>
      </c>
      <c r="B3" s="3" t="s">
        <v>136</v>
      </c>
      <c r="C3" s="3" t="s">
        <v>139</v>
      </c>
      <c r="D3" s="3">
        <v>3</v>
      </c>
      <c r="E3" s="3">
        <v>5</v>
      </c>
      <c r="F3" s="3">
        <f t="shared" si="0"/>
        <v>15</v>
      </c>
      <c r="G3" s="3" t="str">
        <f t="shared" si="1"/>
        <v>High</v>
      </c>
      <c r="H3" s="3" t="s">
        <v>138</v>
      </c>
      <c r="I3" s="3" t="s">
        <v>140</v>
      </c>
      <c r="J3" s="3" t="s">
        <v>226</v>
      </c>
      <c r="L3" s="4"/>
      <c r="M3" s="3"/>
    </row>
    <row r="4" spans="1:13" ht="45">
      <c r="A4" s="3" t="s">
        <v>34</v>
      </c>
      <c r="B4" s="3" t="s">
        <v>60</v>
      </c>
      <c r="C4" s="3" t="s">
        <v>141</v>
      </c>
      <c r="D4" s="3">
        <v>3</v>
      </c>
      <c r="E4" s="3">
        <v>5</v>
      </c>
      <c r="F4" s="3">
        <f t="shared" si="0"/>
        <v>15</v>
      </c>
      <c r="G4" s="3" t="str">
        <f t="shared" si="1"/>
        <v>High</v>
      </c>
      <c r="H4" s="3" t="s">
        <v>142</v>
      </c>
      <c r="I4" s="3" t="s">
        <v>184</v>
      </c>
      <c r="J4" s="3" t="s">
        <v>227</v>
      </c>
      <c r="L4" s="3"/>
      <c r="M4" s="3"/>
    </row>
    <row r="5" spans="1:13" ht="60">
      <c r="A5" s="3" t="s">
        <v>42</v>
      </c>
      <c r="B5" s="3" t="s">
        <v>60</v>
      </c>
      <c r="C5" s="3" t="s">
        <v>147</v>
      </c>
      <c r="D5" s="3">
        <v>3</v>
      </c>
      <c r="E5" s="3">
        <v>5</v>
      </c>
      <c r="F5" s="3">
        <f t="shared" si="0"/>
        <v>15</v>
      </c>
      <c r="G5" s="3" t="str">
        <f t="shared" si="1"/>
        <v>High</v>
      </c>
      <c r="H5" s="3" t="s">
        <v>142</v>
      </c>
      <c r="I5" s="3" t="s">
        <v>185</v>
      </c>
      <c r="J5" s="3" t="s">
        <v>228</v>
      </c>
    </row>
    <row r="6" spans="1:13" ht="135">
      <c r="A6" s="3" t="s">
        <v>42</v>
      </c>
      <c r="B6" s="3" t="s">
        <v>148</v>
      </c>
      <c r="C6" s="3" t="s">
        <v>149</v>
      </c>
      <c r="D6" s="3">
        <v>3</v>
      </c>
      <c r="E6" s="3">
        <v>5</v>
      </c>
      <c r="F6" s="3">
        <f t="shared" si="0"/>
        <v>15</v>
      </c>
      <c r="G6" s="3" t="str">
        <f t="shared" si="1"/>
        <v>High</v>
      </c>
      <c r="H6" s="3" t="s">
        <v>142</v>
      </c>
      <c r="I6" s="3" t="s">
        <v>177</v>
      </c>
      <c r="J6" s="3" t="s">
        <v>229</v>
      </c>
    </row>
    <row r="7" spans="1:13" ht="60">
      <c r="A7" s="3" t="s">
        <v>105</v>
      </c>
      <c r="B7" s="3" t="s">
        <v>136</v>
      </c>
      <c r="C7" s="3" t="s">
        <v>168</v>
      </c>
      <c r="D7" s="3">
        <v>3</v>
      </c>
      <c r="E7" s="3">
        <v>5</v>
      </c>
      <c r="F7" s="3">
        <f t="shared" si="0"/>
        <v>15</v>
      </c>
      <c r="G7" s="3" t="str">
        <f t="shared" si="1"/>
        <v>High</v>
      </c>
      <c r="H7" s="3" t="s">
        <v>169</v>
      </c>
      <c r="I7" s="3" t="s">
        <v>187</v>
      </c>
      <c r="J7" s="3" t="s">
        <v>230</v>
      </c>
    </row>
    <row r="8" spans="1:13" ht="45">
      <c r="A8" s="3" t="s">
        <v>125</v>
      </c>
      <c r="B8" s="3" t="s">
        <v>136</v>
      </c>
      <c r="C8" s="3" t="s">
        <v>170</v>
      </c>
      <c r="D8" s="3">
        <v>3</v>
      </c>
      <c r="E8" s="3">
        <v>5</v>
      </c>
      <c r="F8" s="3">
        <f t="shared" si="0"/>
        <v>15</v>
      </c>
      <c r="G8" s="3" t="str">
        <f t="shared" si="1"/>
        <v>High</v>
      </c>
      <c r="H8" s="3" t="s">
        <v>142</v>
      </c>
      <c r="I8" s="3" t="s">
        <v>171</v>
      </c>
      <c r="J8" s="3" t="s">
        <v>231</v>
      </c>
    </row>
    <row r="9" spans="1:13" ht="135">
      <c r="A9" s="3" t="s">
        <v>38</v>
      </c>
      <c r="B9" s="3" t="s">
        <v>143</v>
      </c>
      <c r="C9" s="3" t="s">
        <v>144</v>
      </c>
      <c r="D9" s="3">
        <v>4</v>
      </c>
      <c r="E9" s="3">
        <v>3</v>
      </c>
      <c r="F9" s="3">
        <f t="shared" si="0"/>
        <v>12</v>
      </c>
      <c r="G9" s="3" t="str">
        <f t="shared" si="1"/>
        <v>Medium</v>
      </c>
      <c r="H9" s="3" t="s">
        <v>145</v>
      </c>
      <c r="I9" s="3" t="s">
        <v>146</v>
      </c>
      <c r="J9" s="3" t="s">
        <v>232</v>
      </c>
    </row>
    <row r="10" spans="1:13" ht="135">
      <c r="A10" s="3" t="s">
        <v>54</v>
      </c>
      <c r="B10" s="3" t="s">
        <v>55</v>
      </c>
      <c r="C10" s="3" t="s">
        <v>180</v>
      </c>
      <c r="D10" s="3">
        <v>3</v>
      </c>
      <c r="E10" s="3">
        <v>4</v>
      </c>
      <c r="F10" s="3">
        <f t="shared" si="0"/>
        <v>12</v>
      </c>
      <c r="G10" s="3" t="str">
        <f t="shared" si="1"/>
        <v>Medium</v>
      </c>
      <c r="H10" s="3" t="s">
        <v>155</v>
      </c>
      <c r="I10" s="3" t="s">
        <v>181</v>
      </c>
      <c r="J10" s="3" t="s">
        <v>233</v>
      </c>
    </row>
    <row r="11" spans="1:13" ht="75">
      <c r="A11" s="3" t="s">
        <v>64</v>
      </c>
      <c r="B11" s="3" t="s">
        <v>143</v>
      </c>
      <c r="C11" s="3" t="s">
        <v>219</v>
      </c>
      <c r="D11" s="3">
        <v>4</v>
      </c>
      <c r="E11" s="3">
        <v>3</v>
      </c>
      <c r="F11" s="3">
        <f t="shared" si="0"/>
        <v>12</v>
      </c>
      <c r="G11" s="3" t="str">
        <f t="shared" si="1"/>
        <v>Medium</v>
      </c>
      <c r="H11" s="3" t="s">
        <v>145</v>
      </c>
      <c r="I11" s="3" t="s">
        <v>157</v>
      </c>
      <c r="J11" s="3" t="s">
        <v>234</v>
      </c>
    </row>
    <row r="12" spans="1:13" ht="165">
      <c r="A12" s="3" t="s">
        <v>69</v>
      </c>
      <c r="B12" s="3" t="s">
        <v>158</v>
      </c>
      <c r="C12" s="3" t="s">
        <v>159</v>
      </c>
      <c r="D12" s="3">
        <v>3</v>
      </c>
      <c r="E12" s="3">
        <v>4</v>
      </c>
      <c r="F12" s="3">
        <f t="shared" si="0"/>
        <v>12</v>
      </c>
      <c r="G12" s="3" t="str">
        <f t="shared" si="1"/>
        <v>Medium</v>
      </c>
      <c r="H12" s="3" t="s">
        <v>160</v>
      </c>
      <c r="I12" s="3" t="s">
        <v>182</v>
      </c>
      <c r="J12" s="3" t="s">
        <v>236</v>
      </c>
    </row>
    <row r="13" spans="1:13" ht="180">
      <c r="A13" s="3" t="s">
        <v>69</v>
      </c>
      <c r="B13" s="3" t="s">
        <v>55</v>
      </c>
      <c r="C13" s="3" t="s">
        <v>194</v>
      </c>
      <c r="D13" s="3">
        <v>3</v>
      </c>
      <c r="E13" s="3">
        <v>4</v>
      </c>
      <c r="F13" s="3">
        <f t="shared" si="0"/>
        <v>12</v>
      </c>
      <c r="G13" s="3" t="str">
        <f t="shared" si="1"/>
        <v>Medium</v>
      </c>
      <c r="H13" s="3" t="s">
        <v>155</v>
      </c>
      <c r="I13" s="3" t="s">
        <v>203</v>
      </c>
      <c r="J13" s="3" t="s">
        <v>235</v>
      </c>
    </row>
    <row r="14" spans="1:13" ht="150">
      <c r="A14" s="3" t="s">
        <v>42</v>
      </c>
      <c r="B14" s="3" t="s">
        <v>136</v>
      </c>
      <c r="C14" s="3" t="s">
        <v>150</v>
      </c>
      <c r="D14" s="3">
        <v>2</v>
      </c>
      <c r="E14" s="3">
        <v>5</v>
      </c>
      <c r="F14" s="3">
        <f t="shared" si="0"/>
        <v>10</v>
      </c>
      <c r="G14" s="3" t="str">
        <f t="shared" si="1"/>
        <v>Medium</v>
      </c>
      <c r="H14" s="3" t="s">
        <v>142</v>
      </c>
      <c r="I14" s="3" t="s">
        <v>178</v>
      </c>
      <c r="J14" s="3" t="s">
        <v>237</v>
      </c>
    </row>
    <row r="15" spans="1:13" ht="45">
      <c r="A15" s="3" t="s">
        <v>46</v>
      </c>
      <c r="B15" s="3" t="s">
        <v>136</v>
      </c>
      <c r="C15" s="3" t="s">
        <v>151</v>
      </c>
      <c r="D15" s="3">
        <v>2</v>
      </c>
      <c r="E15" s="3">
        <v>5</v>
      </c>
      <c r="F15" s="3">
        <f t="shared" si="0"/>
        <v>10</v>
      </c>
      <c r="G15" s="3" t="str">
        <f t="shared" si="1"/>
        <v>Medium</v>
      </c>
      <c r="H15" s="3" t="s">
        <v>142</v>
      </c>
      <c r="I15" s="3" t="s">
        <v>152</v>
      </c>
      <c r="J15" s="3" t="s">
        <v>238</v>
      </c>
    </row>
    <row r="16" spans="1:13" ht="75">
      <c r="A16" s="3" t="s">
        <v>50</v>
      </c>
      <c r="B16" s="3" t="s">
        <v>153</v>
      </c>
      <c r="C16" s="3" t="s">
        <v>154</v>
      </c>
      <c r="D16" s="3">
        <v>2</v>
      </c>
      <c r="E16" s="3">
        <v>5</v>
      </c>
      <c r="F16" s="3">
        <f t="shared" si="0"/>
        <v>10</v>
      </c>
      <c r="G16" s="3" t="str">
        <f t="shared" si="1"/>
        <v>Medium</v>
      </c>
      <c r="H16" s="3" t="s">
        <v>142</v>
      </c>
      <c r="I16" s="3" t="s">
        <v>179</v>
      </c>
      <c r="J16" s="3" t="s">
        <v>239</v>
      </c>
    </row>
    <row r="17" spans="1:10" ht="135">
      <c r="A17" s="3" t="s">
        <v>205</v>
      </c>
      <c r="B17" s="3" t="s">
        <v>55</v>
      </c>
      <c r="C17" s="3" t="s">
        <v>161</v>
      </c>
      <c r="D17" s="3">
        <v>2</v>
      </c>
      <c r="E17" s="3">
        <v>5</v>
      </c>
      <c r="F17" s="3">
        <f t="shared" si="0"/>
        <v>10</v>
      </c>
      <c r="G17" s="3" t="str">
        <f t="shared" si="1"/>
        <v>Medium</v>
      </c>
      <c r="H17" s="3" t="s">
        <v>156</v>
      </c>
      <c r="I17" s="3" t="s">
        <v>183</v>
      </c>
      <c r="J17" s="3" t="s">
        <v>260</v>
      </c>
    </row>
    <row r="18" spans="1:10" ht="135">
      <c r="A18" s="3" t="s">
        <v>89</v>
      </c>
      <c r="B18" s="3" t="s">
        <v>143</v>
      </c>
      <c r="C18" s="3" t="s">
        <v>261</v>
      </c>
      <c r="D18" s="3">
        <v>2</v>
      </c>
      <c r="E18" s="3">
        <v>5</v>
      </c>
      <c r="F18" s="3">
        <f t="shared" si="0"/>
        <v>10</v>
      </c>
      <c r="G18" s="3" t="str">
        <f t="shared" si="1"/>
        <v>Medium</v>
      </c>
      <c r="H18" s="3" t="s">
        <v>163</v>
      </c>
      <c r="I18" s="3" t="s">
        <v>189</v>
      </c>
      <c r="J18" s="3" t="s">
        <v>262</v>
      </c>
    </row>
    <row r="19" spans="1:10" ht="135">
      <c r="A19" s="3" t="s">
        <v>59</v>
      </c>
      <c r="B19" s="3" t="s">
        <v>143</v>
      </c>
      <c r="C19" s="3" t="s">
        <v>218</v>
      </c>
      <c r="D19" s="3">
        <v>3</v>
      </c>
      <c r="E19" s="3">
        <v>3</v>
      </c>
      <c r="F19" s="3">
        <f t="shared" si="0"/>
        <v>9</v>
      </c>
      <c r="G19" s="3" t="str">
        <f t="shared" si="1"/>
        <v>Medium</v>
      </c>
      <c r="H19" s="3" t="s">
        <v>145</v>
      </c>
      <c r="I19" s="3" t="s">
        <v>176</v>
      </c>
      <c r="J19" s="3" t="s">
        <v>263</v>
      </c>
    </row>
    <row r="20" spans="1:10" ht="150">
      <c r="A20" s="3" t="s">
        <v>38</v>
      </c>
      <c r="B20" s="3" t="s">
        <v>158</v>
      </c>
      <c r="C20" s="3" t="s">
        <v>172</v>
      </c>
      <c r="D20" s="3">
        <v>3</v>
      </c>
      <c r="E20" s="3">
        <v>3</v>
      </c>
      <c r="F20" s="3">
        <f t="shared" si="0"/>
        <v>9</v>
      </c>
      <c r="G20" s="3" t="str">
        <f t="shared" si="1"/>
        <v>Medium</v>
      </c>
      <c r="H20" s="3" t="s">
        <v>160</v>
      </c>
      <c r="I20" s="3" t="s">
        <v>186</v>
      </c>
      <c r="J20" s="3" t="s">
        <v>264</v>
      </c>
    </row>
    <row r="21" spans="1:10" ht="120">
      <c r="A21" s="3" t="s">
        <v>190</v>
      </c>
      <c r="B21" s="3" t="s">
        <v>143</v>
      </c>
      <c r="C21" s="3" t="s">
        <v>164</v>
      </c>
      <c r="D21" s="3">
        <v>2</v>
      </c>
      <c r="E21" s="3">
        <v>4</v>
      </c>
      <c r="F21" s="3">
        <f t="shared" si="0"/>
        <v>8</v>
      </c>
      <c r="G21" s="3" t="str">
        <f t="shared" si="1"/>
        <v>Medium</v>
      </c>
      <c r="H21" s="3" t="s">
        <v>145</v>
      </c>
      <c r="I21" s="3" t="s">
        <v>188</v>
      </c>
      <c r="J21" s="3" t="s">
        <v>265</v>
      </c>
    </row>
    <row r="22" spans="1:10" ht="45">
      <c r="A22" s="3" t="s">
        <v>101</v>
      </c>
      <c r="B22" s="3" t="s">
        <v>136</v>
      </c>
      <c r="C22" s="3" t="s">
        <v>165</v>
      </c>
      <c r="D22" s="3">
        <v>2</v>
      </c>
      <c r="E22" s="3">
        <v>4</v>
      </c>
      <c r="F22" s="3">
        <f t="shared" si="0"/>
        <v>8</v>
      </c>
      <c r="G22" s="3" t="str">
        <f t="shared" si="1"/>
        <v>Medium</v>
      </c>
      <c r="H22" s="3" t="s">
        <v>166</v>
      </c>
      <c r="I22" s="3" t="s">
        <v>167</v>
      </c>
      <c r="J22" s="3" t="s">
        <v>204</v>
      </c>
    </row>
    <row r="23" spans="1:10" ht="60">
      <c r="A23" s="3" t="s">
        <v>193</v>
      </c>
      <c r="B23" s="3" t="s">
        <v>55</v>
      </c>
      <c r="C23" s="3" t="s">
        <v>206</v>
      </c>
      <c r="D23" s="3">
        <v>2</v>
      </c>
      <c r="E23" s="3">
        <v>3</v>
      </c>
      <c r="F23" s="3">
        <f t="shared" si="0"/>
        <v>6</v>
      </c>
      <c r="G23" s="3" t="str">
        <f t="shared" si="1"/>
        <v>Low</v>
      </c>
      <c r="H23" s="3" t="s">
        <v>155</v>
      </c>
      <c r="I23" s="3" t="s">
        <v>212</v>
      </c>
      <c r="J23" s="3" t="s">
        <v>266</v>
      </c>
    </row>
    <row r="24" spans="1:10" ht="165">
      <c r="A24" s="3" t="s">
        <v>93</v>
      </c>
      <c r="B24" s="3" t="s">
        <v>143</v>
      </c>
      <c r="C24" s="3" t="s">
        <v>191</v>
      </c>
      <c r="D24" s="3">
        <v>3</v>
      </c>
      <c r="E24" s="3">
        <v>2</v>
      </c>
      <c r="F24" s="3">
        <f t="shared" si="0"/>
        <v>6</v>
      </c>
      <c r="G24" s="3" t="str">
        <f t="shared" si="1"/>
        <v>Low</v>
      </c>
      <c r="H24" s="3" t="s">
        <v>145</v>
      </c>
      <c r="I24" s="3" t="s">
        <v>192</v>
      </c>
      <c r="J24" s="3" t="s">
        <v>267</v>
      </c>
    </row>
    <row r="39" spans="1:2">
      <c r="A39" t="s">
        <v>132</v>
      </c>
    </row>
    <row r="40" spans="1:2">
      <c r="A40" t="s">
        <v>195</v>
      </c>
      <c r="B40" t="s">
        <v>196</v>
      </c>
    </row>
    <row r="41" spans="1:2">
      <c r="A41" s="3" t="s">
        <v>197</v>
      </c>
      <c r="B41" s="3" t="s">
        <v>198</v>
      </c>
    </row>
    <row r="42" spans="1:2">
      <c r="A42" s="4" t="s">
        <v>199</v>
      </c>
      <c r="B42" s="3" t="s">
        <v>200</v>
      </c>
    </row>
    <row r="43" spans="1:2">
      <c r="A43" s="3" t="s">
        <v>201</v>
      </c>
      <c r="B43" s="3" t="s">
        <v>202</v>
      </c>
    </row>
    <row r="46" spans="1:2" ht="60">
      <c r="A46" s="1" t="s">
        <v>214</v>
      </c>
    </row>
    <row r="47" spans="1:2">
      <c r="A47">
        <v>1</v>
      </c>
      <c r="B47" t="s">
        <v>220</v>
      </c>
    </row>
    <row r="48" spans="1:2">
      <c r="A48">
        <v>2</v>
      </c>
      <c r="B48" t="s">
        <v>221</v>
      </c>
    </row>
    <row r="49" spans="1:2">
      <c r="A49">
        <v>3</v>
      </c>
      <c r="B49" t="s">
        <v>222</v>
      </c>
    </row>
    <row r="50" spans="1:2">
      <c r="A50">
        <v>4</v>
      </c>
      <c r="B50" t="s">
        <v>223</v>
      </c>
    </row>
    <row r="51" spans="1:2">
      <c r="A51">
        <v>5</v>
      </c>
      <c r="B51" t="s">
        <v>224</v>
      </c>
    </row>
  </sheetData>
  <sortState xmlns:xlrd2="http://schemas.microsoft.com/office/spreadsheetml/2017/richdata2" ref="A2:J24">
    <sortCondition descending="1" ref="F1:F24"/>
  </sortState>
  <dataValidations count="2">
    <dataValidation type="list" sqref="B2:B24" xr:uid="{DEC40373-F6AB-4937-AF4F-DFC0D7F222E9}">
      <formula1>"Code,Content,Data,AI,Security,Privacy,UX"</formula1>
    </dataValidation>
    <dataValidation type="list" sqref="D2:E24" xr:uid="{F2E278EF-229B-4437-A023-2599A78C2121}">
      <formula1>"1,2,3,4,5"</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E9596-0F69-4F65-8F13-65A86866FAF3}">
  <dimension ref="A1:H21"/>
  <sheetViews>
    <sheetView topLeftCell="B25" zoomScale="130" zoomScaleNormal="130" workbookViewId="0">
      <selection activeCell="E26" sqref="E26"/>
    </sheetView>
  </sheetViews>
  <sheetFormatPr defaultRowHeight="15"/>
  <cols>
    <col min="1" max="1" width="13.7109375" customWidth="1"/>
    <col min="2" max="2" width="15.140625" customWidth="1"/>
    <col min="3" max="3" width="17.5703125" customWidth="1"/>
    <col min="4" max="4" width="18.140625" customWidth="1"/>
    <col min="5" max="5" width="26.42578125" customWidth="1"/>
    <col min="6" max="6" width="16.85546875" customWidth="1"/>
    <col min="7" max="7" width="22.7109375" customWidth="1"/>
    <col min="8" max="8" width="54.28515625" customWidth="1"/>
    <col min="9" max="9" width="18.5703125" customWidth="1"/>
    <col min="10" max="10" width="18.140625" customWidth="1"/>
  </cols>
  <sheetData>
    <row r="1" spans="1:8" ht="30">
      <c r="A1" s="5" t="s">
        <v>207</v>
      </c>
      <c r="B1" s="5" t="s">
        <v>130</v>
      </c>
      <c r="C1" s="5" t="s">
        <v>131</v>
      </c>
      <c r="D1" s="5" t="s">
        <v>208</v>
      </c>
      <c r="E1" s="5" t="s">
        <v>209</v>
      </c>
      <c r="F1" s="5" t="s">
        <v>210</v>
      </c>
      <c r="G1" s="5" t="s">
        <v>133</v>
      </c>
      <c r="H1" s="5" t="s">
        <v>211</v>
      </c>
    </row>
    <row r="2" spans="1:8" ht="60">
      <c r="A2" s="3" t="s">
        <v>9</v>
      </c>
      <c r="B2" s="3" t="s">
        <v>136</v>
      </c>
      <c r="C2" s="3" t="s">
        <v>137</v>
      </c>
      <c r="D2" s="3">
        <v>3</v>
      </c>
      <c r="E2" s="3">
        <v>5</v>
      </c>
      <c r="F2" s="3">
        <f>D2*E2</f>
        <v>15</v>
      </c>
      <c r="G2" s="3" t="str">
        <f>IF(F2&gt;=20,"Critical",IF(F2&gt;=15,"High",IF(F2&gt;=8,"Medium","Low")))</f>
        <v>High</v>
      </c>
      <c r="H2" s="3" t="s">
        <v>240</v>
      </c>
    </row>
    <row r="3" spans="1:8" ht="45">
      <c r="A3" s="3" t="s">
        <v>9</v>
      </c>
      <c r="B3" s="3" t="s">
        <v>136</v>
      </c>
      <c r="C3" s="3" t="s">
        <v>139</v>
      </c>
      <c r="D3" s="3">
        <v>3</v>
      </c>
      <c r="E3" s="3">
        <v>5</v>
      </c>
      <c r="F3" s="3">
        <f t="shared" ref="F3:F20" si="0">D3*E3</f>
        <v>15</v>
      </c>
      <c r="G3" s="3" t="str">
        <f t="shared" ref="G3:G20" si="1">IF(F3&gt;=20,"Critical",IF(F3&gt;=15,"High",IF(F3&gt;=8,"Medium","Low")))</f>
        <v>High</v>
      </c>
      <c r="H3" s="3" t="s">
        <v>241</v>
      </c>
    </row>
    <row r="4" spans="1:8" ht="45">
      <c r="A4" s="3" t="s">
        <v>34</v>
      </c>
      <c r="B4" s="3" t="s">
        <v>60</v>
      </c>
      <c r="C4" s="3" t="s">
        <v>141</v>
      </c>
      <c r="D4" s="3">
        <v>3</v>
      </c>
      <c r="E4" s="3">
        <v>5</v>
      </c>
      <c r="F4" s="3">
        <f t="shared" si="0"/>
        <v>15</v>
      </c>
      <c r="G4" s="3" t="str">
        <f t="shared" si="1"/>
        <v>High</v>
      </c>
      <c r="H4" s="3" t="s">
        <v>242</v>
      </c>
    </row>
    <row r="5" spans="1:8" ht="60">
      <c r="A5" s="3" t="s">
        <v>42</v>
      </c>
      <c r="B5" s="3" t="s">
        <v>60</v>
      </c>
      <c r="C5" s="3" t="s">
        <v>147</v>
      </c>
      <c r="D5" s="3">
        <v>3</v>
      </c>
      <c r="E5" s="3">
        <v>5</v>
      </c>
      <c r="F5" s="3">
        <f t="shared" si="0"/>
        <v>15</v>
      </c>
      <c r="G5" s="3" t="str">
        <f t="shared" si="1"/>
        <v>High</v>
      </c>
      <c r="H5" s="3" t="s">
        <v>243</v>
      </c>
    </row>
    <row r="6" spans="1:8" ht="45">
      <c r="A6" s="3" t="s">
        <v>42</v>
      </c>
      <c r="B6" s="3" t="s">
        <v>148</v>
      </c>
      <c r="C6" s="3" t="s">
        <v>149</v>
      </c>
      <c r="D6" s="3">
        <v>3</v>
      </c>
      <c r="E6" s="3">
        <v>5</v>
      </c>
      <c r="F6" s="3">
        <f t="shared" si="0"/>
        <v>15</v>
      </c>
      <c r="G6" s="3" t="str">
        <f t="shared" si="1"/>
        <v>High</v>
      </c>
      <c r="H6" s="3" t="s">
        <v>244</v>
      </c>
    </row>
    <row r="7" spans="1:8" ht="45">
      <c r="A7" s="3" t="s">
        <v>105</v>
      </c>
      <c r="B7" s="3" t="s">
        <v>136</v>
      </c>
      <c r="C7" s="3" t="s">
        <v>168</v>
      </c>
      <c r="D7" s="3">
        <v>3</v>
      </c>
      <c r="E7" s="3">
        <v>5</v>
      </c>
      <c r="F7" s="3">
        <f t="shared" si="0"/>
        <v>15</v>
      </c>
      <c r="G7" s="3" t="str">
        <f t="shared" si="1"/>
        <v>High</v>
      </c>
      <c r="H7" s="3" t="s">
        <v>245</v>
      </c>
    </row>
    <row r="8" spans="1:8" ht="60">
      <c r="A8" s="3" t="s">
        <v>125</v>
      </c>
      <c r="B8" s="3" t="s">
        <v>136</v>
      </c>
      <c r="C8" s="3" t="s">
        <v>170</v>
      </c>
      <c r="D8" s="3">
        <v>3</v>
      </c>
      <c r="E8" s="3">
        <v>5</v>
      </c>
      <c r="F8" s="3">
        <f t="shared" si="0"/>
        <v>15</v>
      </c>
      <c r="G8" s="3" t="str">
        <f t="shared" si="1"/>
        <v>High</v>
      </c>
      <c r="H8" s="3" t="s">
        <v>246</v>
      </c>
    </row>
    <row r="9" spans="1:8" ht="45">
      <c r="A9" s="3" t="s">
        <v>38</v>
      </c>
      <c r="B9" s="3" t="s">
        <v>143</v>
      </c>
      <c r="C9" s="3" t="s">
        <v>144</v>
      </c>
      <c r="D9" s="3">
        <v>4</v>
      </c>
      <c r="E9" s="3">
        <v>3</v>
      </c>
      <c r="F9" s="3">
        <f t="shared" si="0"/>
        <v>12</v>
      </c>
      <c r="G9" s="3" t="str">
        <f t="shared" si="1"/>
        <v>Medium</v>
      </c>
      <c r="H9" s="3" t="s">
        <v>247</v>
      </c>
    </row>
    <row r="10" spans="1:8" ht="45">
      <c r="A10" s="3" t="s">
        <v>54</v>
      </c>
      <c r="B10" s="3" t="s">
        <v>55</v>
      </c>
      <c r="C10" s="3" t="s">
        <v>180</v>
      </c>
      <c r="D10" s="3">
        <v>3</v>
      </c>
      <c r="E10" s="3">
        <v>4</v>
      </c>
      <c r="F10" s="3">
        <f t="shared" si="0"/>
        <v>12</v>
      </c>
      <c r="G10" s="3" t="str">
        <f t="shared" si="1"/>
        <v>Medium</v>
      </c>
      <c r="H10" s="3" t="s">
        <v>248</v>
      </c>
    </row>
    <row r="11" spans="1:8" ht="45">
      <c r="A11" s="3" t="s">
        <v>64</v>
      </c>
      <c r="B11" s="3" t="s">
        <v>143</v>
      </c>
      <c r="C11" s="3" t="s">
        <v>219</v>
      </c>
      <c r="D11" s="3">
        <v>4</v>
      </c>
      <c r="E11" s="3">
        <v>3</v>
      </c>
      <c r="F11" s="3">
        <f t="shared" si="0"/>
        <v>12</v>
      </c>
      <c r="G11" s="3" t="str">
        <f t="shared" si="1"/>
        <v>Medium</v>
      </c>
      <c r="H11" s="3" t="s">
        <v>249</v>
      </c>
    </row>
    <row r="12" spans="1:8" ht="45">
      <c r="A12" s="3" t="s">
        <v>69</v>
      </c>
      <c r="B12" s="3" t="s">
        <v>158</v>
      </c>
      <c r="C12" s="3" t="s">
        <v>159</v>
      </c>
      <c r="D12" s="3">
        <v>3</v>
      </c>
      <c r="E12" s="3">
        <v>4</v>
      </c>
      <c r="F12" s="3">
        <f t="shared" si="0"/>
        <v>12</v>
      </c>
      <c r="G12" s="3" t="str">
        <f t="shared" si="1"/>
        <v>Medium</v>
      </c>
      <c r="H12" s="3" t="s">
        <v>250</v>
      </c>
    </row>
    <row r="13" spans="1:8" ht="75">
      <c r="A13" s="3" t="s">
        <v>69</v>
      </c>
      <c r="B13" s="3" t="s">
        <v>55</v>
      </c>
      <c r="C13" s="3" t="s">
        <v>194</v>
      </c>
      <c r="D13" s="3">
        <v>3</v>
      </c>
      <c r="E13" s="3">
        <v>4</v>
      </c>
      <c r="F13" s="3">
        <f t="shared" si="0"/>
        <v>12</v>
      </c>
      <c r="G13" s="3" t="str">
        <f t="shared" si="1"/>
        <v>Medium</v>
      </c>
      <c r="H13" s="3" t="s">
        <v>251</v>
      </c>
    </row>
    <row r="14" spans="1:8" ht="60">
      <c r="A14" s="3" t="s">
        <v>42</v>
      </c>
      <c r="B14" s="3" t="s">
        <v>136</v>
      </c>
      <c r="C14" s="3" t="s">
        <v>150</v>
      </c>
      <c r="D14" s="3">
        <v>2</v>
      </c>
      <c r="E14" s="3">
        <v>5</v>
      </c>
      <c r="F14" s="3">
        <f t="shared" si="0"/>
        <v>10</v>
      </c>
      <c r="G14" s="3" t="str">
        <f t="shared" si="1"/>
        <v>Medium</v>
      </c>
      <c r="H14" s="3" t="s">
        <v>252</v>
      </c>
    </row>
    <row r="15" spans="1:8" ht="60">
      <c r="A15" s="3" t="s">
        <v>46</v>
      </c>
      <c r="B15" s="3" t="s">
        <v>136</v>
      </c>
      <c r="C15" s="3" t="s">
        <v>151</v>
      </c>
      <c r="D15" s="3">
        <v>2</v>
      </c>
      <c r="E15" s="3">
        <v>5</v>
      </c>
      <c r="F15" s="3">
        <f t="shared" si="0"/>
        <v>10</v>
      </c>
      <c r="G15" s="3" t="str">
        <f t="shared" si="1"/>
        <v>Medium</v>
      </c>
      <c r="H15" s="3" t="s">
        <v>253</v>
      </c>
    </row>
    <row r="16" spans="1:8" ht="45">
      <c r="A16" s="3" t="s">
        <v>50</v>
      </c>
      <c r="B16" s="3" t="s">
        <v>153</v>
      </c>
      <c r="C16" s="3" t="s">
        <v>154</v>
      </c>
      <c r="D16" s="3">
        <v>2</v>
      </c>
      <c r="E16" s="3">
        <v>5</v>
      </c>
      <c r="F16" s="3">
        <f t="shared" si="0"/>
        <v>10</v>
      </c>
      <c r="G16" s="3" t="str">
        <f t="shared" si="1"/>
        <v>Medium</v>
      </c>
      <c r="H16" s="3" t="s">
        <v>254</v>
      </c>
    </row>
    <row r="17" spans="1:8" ht="45">
      <c r="A17" s="3" t="s">
        <v>205</v>
      </c>
      <c r="B17" s="3" t="s">
        <v>55</v>
      </c>
      <c r="C17" s="3" t="s">
        <v>161</v>
      </c>
      <c r="D17" s="3">
        <v>2</v>
      </c>
      <c r="E17" s="3">
        <v>5</v>
      </c>
      <c r="F17" s="3">
        <f t="shared" si="0"/>
        <v>10</v>
      </c>
      <c r="G17" s="3" t="str">
        <f t="shared" si="1"/>
        <v>Medium</v>
      </c>
      <c r="H17" s="3" t="s">
        <v>255</v>
      </c>
    </row>
    <row r="18" spans="1:8" ht="45">
      <c r="A18" s="3" t="s">
        <v>89</v>
      </c>
      <c r="B18" s="3" t="s">
        <v>143</v>
      </c>
      <c r="C18" s="3" t="s">
        <v>162</v>
      </c>
      <c r="D18" s="3">
        <v>2</v>
      </c>
      <c r="E18" s="3">
        <v>5</v>
      </c>
      <c r="F18" s="3">
        <f t="shared" si="0"/>
        <v>10</v>
      </c>
      <c r="G18" s="3" t="str">
        <f t="shared" si="1"/>
        <v>Medium</v>
      </c>
      <c r="H18" s="3" t="s">
        <v>256</v>
      </c>
    </row>
    <row r="19" spans="1:8" ht="60">
      <c r="A19" s="3" t="s">
        <v>59</v>
      </c>
      <c r="B19" s="3" t="s">
        <v>143</v>
      </c>
      <c r="C19" s="3" t="s">
        <v>218</v>
      </c>
      <c r="D19" s="3">
        <v>3</v>
      </c>
      <c r="E19" s="3">
        <v>3</v>
      </c>
      <c r="F19" s="3">
        <f t="shared" si="0"/>
        <v>9</v>
      </c>
      <c r="G19" s="3" t="str">
        <f t="shared" si="1"/>
        <v>Medium</v>
      </c>
      <c r="H19" s="3" t="s">
        <v>257</v>
      </c>
    </row>
    <row r="20" spans="1:8" ht="45">
      <c r="A20" s="3" t="s">
        <v>38</v>
      </c>
      <c r="B20" s="3" t="s">
        <v>158</v>
      </c>
      <c r="C20" s="3" t="s">
        <v>172</v>
      </c>
      <c r="D20" s="3">
        <v>3</v>
      </c>
      <c r="E20" s="3">
        <v>3</v>
      </c>
      <c r="F20" s="3">
        <f t="shared" si="0"/>
        <v>9</v>
      </c>
      <c r="G20" s="3" t="str">
        <f t="shared" si="1"/>
        <v>Medium</v>
      </c>
      <c r="H20" s="3" t="s">
        <v>258</v>
      </c>
    </row>
    <row r="21" spans="1:8" ht="60">
      <c r="A21" s="3" t="s">
        <v>190</v>
      </c>
      <c r="B21" s="3" t="s">
        <v>143</v>
      </c>
      <c r="C21" s="3" t="s">
        <v>164</v>
      </c>
      <c r="D21" s="3">
        <v>2</v>
      </c>
      <c r="E21" s="3">
        <v>4</v>
      </c>
      <c r="F21" s="3">
        <f>D21*E21</f>
        <v>8</v>
      </c>
      <c r="G21" s="3" t="str">
        <f>IF(F21&gt;=20,"Critical",IF(F21&gt;=15,"High",IF(F21&gt;=8,"Medium","Low")))</f>
        <v>Medium</v>
      </c>
      <c r="H21" s="3" t="s">
        <v>259</v>
      </c>
    </row>
  </sheetData>
  <dataValidations count="2">
    <dataValidation type="list" sqref="D2:E20 E21" xr:uid="{FF0B0B3E-F7FC-420D-994C-D45B6178C36E}">
      <formula1>"1,2,3,4,5"</formula1>
    </dataValidation>
    <dataValidation type="list" sqref="B2:B20" xr:uid="{9F6D5928-25ED-46CA-A2CD-C7961F996BB2}">
      <formula1>"Code,Content,Data,AI,Security,Privacy,UX"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A6BB-2AB0-4E32-A1B8-1B3BAB1C8B82}">
  <dimension ref="A1:F3"/>
  <sheetViews>
    <sheetView tabSelected="1" workbookViewId="0">
      <selection activeCell="G2" sqref="G2"/>
    </sheetView>
  </sheetViews>
  <sheetFormatPr defaultRowHeight="15"/>
  <cols>
    <col min="1" max="1" width="15.85546875" customWidth="1"/>
    <col min="2" max="2" width="14.5703125" customWidth="1"/>
    <col min="3" max="3" width="18.5703125" customWidth="1"/>
    <col min="4" max="4" width="16" customWidth="1"/>
    <col min="5" max="5" width="16.28515625" customWidth="1"/>
  </cols>
  <sheetData>
    <row r="1" spans="1:6" ht="45">
      <c r="A1" t="s">
        <v>268</v>
      </c>
      <c r="B1" t="s">
        <v>270</v>
      </c>
      <c r="C1" s="1" t="s">
        <v>271</v>
      </c>
      <c r="D1" s="1" t="s">
        <v>273</v>
      </c>
      <c r="E1" t="s">
        <v>276</v>
      </c>
      <c r="F1" s="1" t="s">
        <v>8</v>
      </c>
    </row>
    <row r="2" spans="1:6" ht="135">
      <c r="A2" t="s">
        <v>269</v>
      </c>
      <c r="C2" s="1" t="s">
        <v>272</v>
      </c>
      <c r="E2" t="s">
        <v>275</v>
      </c>
      <c r="F2" s="1" t="s">
        <v>277</v>
      </c>
    </row>
    <row r="3" spans="1:6">
      <c r="A3"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actor</vt:lpstr>
      <vt:lpstr>02_User_Journeys</vt:lpstr>
      <vt:lpstr>03_Risk_Register</vt:lpstr>
      <vt:lpstr>top_20_risk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2026-08-28T06:39:04Z</dcterms:created>
  <dcterms:modified xsi:type="dcterms:W3CDTF">2026-08-28T14:22:48Z</dcterms:modified>
</cp:coreProperties>
</file>