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thuctap\clone\cybersoft-learning-hub\Test\Day28_UAT_Tran_Quoc_Nguyen\"/>
    </mc:Choice>
  </mc:AlternateContent>
  <xr:revisionPtr revIDLastSave="0" documentId="13_ncr:1_{BDD2FEDA-FB4C-4BA7-A2FB-3BADBD2E9B07}" xr6:coauthVersionLast="47" xr6:coauthVersionMax="47" xr10:uidLastSave="{00000000-0000-0000-0000-000000000000}"/>
  <bookViews>
    <workbookView xWindow="-120" yWindow="-120" windowWidth="29040" windowHeight="15720" activeTab="1" xr2:uid="{00000000-000D-0000-FFFF-FFFF00000000}"/>
  </bookViews>
  <sheets>
    <sheet name="Tong quan" sheetId="1" r:id="rId1"/>
    <sheet name="UAT Cases" sheetId="2" r:id="rId2"/>
    <sheet name="Defe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1" l="1"/>
  <c r="B16" i="1"/>
  <c r="B15" i="1"/>
  <c r="B14" i="1"/>
  <c r="B18" i="1" s="1"/>
</calcChain>
</file>

<file path=xl/sharedStrings.xml><?xml version="1.0" encoding="utf-8"?>
<sst xmlns="http://schemas.openxmlformats.org/spreadsheetml/2006/main" count="209" uniqueCount="164">
  <si>
    <t>Ngày 28 UAT với giảng viên nội bộ</t>
  </si>
  <si>
    <t>Người thực hiện</t>
  </si>
  <si>
    <t>Trần Quốc Nguyên</t>
  </si>
  <si>
    <t>Vai trò</t>
  </si>
  <si>
    <t>QA Tester</t>
  </si>
  <si>
    <t>Dự án</t>
  </si>
  <si>
    <t>CyberSoft Learning Hub</t>
  </si>
  <si>
    <t>Ngày UAT</t>
  </si>
  <si>
    <t>Người tham gia</t>
  </si>
  <si>
    <t>Vai trò người tham gia</t>
  </si>
  <si>
    <t>Giảng viên nội bộ</t>
  </si>
  <si>
    <t>Giới hạn cỡ mẫu</t>
  </si>
  <si>
    <t>Dự kiến 1 giảng viên; kết quả không đại diện toàn bộ người dùng</t>
  </si>
  <si>
    <t>Chỉ số</t>
  </si>
  <si>
    <t>Kết quả</t>
  </si>
  <si>
    <t>Tổng kịch bản</t>
  </si>
  <si>
    <t>Đã thực hiện</t>
  </si>
  <si>
    <t>Accepted</t>
  </si>
  <si>
    <t>Accepted with condition</t>
  </si>
  <si>
    <t>Rejected</t>
  </si>
  <si>
    <t>Chưa thực hiện</t>
  </si>
  <si>
    <t>Quyết định nghiệm thu</t>
  </si>
  <si>
    <t>Điều kiện</t>
  </si>
  <si>
    <t>ACCEPTED</t>
  </si>
  <si>
    <t>Cả 14 kịch bản được chấp nhận và không còn Must Fix mở</t>
  </si>
  <si>
    <t>ACCEPTED WITH CONDITION</t>
  </si>
  <si>
    <t>Luồng chính dùng được nhưng còn issue có điều kiện xử lý rõ ràng</t>
  </si>
  <si>
    <t>REJECTED</t>
  </si>
  <si>
    <t>Có kịch bản critical bị từ chối hoặc Must Fix chưa có quyết định</t>
  </si>
  <si>
    <t>Kết luận cuối cùng</t>
  </si>
  <si>
    <t>Xác nhận của giảng viên</t>
  </si>
  <si>
    <t>Lưu ý: Các ô màu vàng cần giảng viên hoặc tester nhập sau buổi UAT. Không tự điền kết quả, tên người xác nhận hoặc chữ ký khi chưa có xác nhận thật. | Ghi chú 11/10: cột Kết quả thực tế là kết quả tester chạy thử. Nhận xét, người xác nhận, kết luận và ngày xác nhận để trống cho đến khi giảng viên chạy và xác nhận thật.</t>
  </si>
  <si>
    <t>Mười bốn kịch bản UAT (theo giao diện Teacher Studio)</t>
  </si>
  <si>
    <t>ID</t>
  </si>
  <si>
    <t>Kịch bản</t>
  </si>
  <si>
    <t>Mục tiêu</t>
  </si>
  <si>
    <t>Điều kiện trước</t>
  </si>
  <si>
    <t>Các bước</t>
  </si>
  <si>
    <t>Kết quả mong đợi</t>
  </si>
  <si>
    <t>Mức quan trọng</t>
  </si>
  <si>
    <t>Kết quả thực tế</t>
  </si>
  <si>
    <t>Issue ID</t>
  </si>
  <si>
    <t>Phân loại</t>
  </si>
  <si>
    <t>Nhận xét giảng viên</t>
  </si>
  <si>
    <t>Người xác nhận</t>
  </si>
  <si>
    <t>Kết luận</t>
  </si>
  <si>
    <t>Ngày xác nhận</t>
  </si>
  <si>
    <t>Ghi chú chuẩn bị (tester, 12/10)</t>
  </si>
  <si>
    <t>UAT-01</t>
  </si>
  <si>
    <t>Đăng nhập và vào cổng Teacher Studio</t>
  </si>
  <si>
    <t>Giảng viên đăng nhập đúng và thấy đủ 12 mục menu dành cho giảng viên</t>
  </si>
  <si>
    <t>Có tài khoản teacher@gmail.com; FE http://localhost:5173 và BE đang chạy; chưa đăng nhập</t>
  </si>
  <si>
    <t>1. Mở /login
2. Nhập tài khoản giảng viên, đăng nhập
3. Quan sát trang đích và nhãn 'TEACHER STUDIO'
4. Đọc menu: Lớp của tôi, Soạn Thảo Bài Thi, Xem Các Bài Thi, Quản Lý Cuộc Thi, Quality &amp; QA Harness, Usability &amp; Age UI, Bảo Mật &amp; Tải, AI Tạo Đề, Chấm Insight, Bài nộp Lab, Xem xét trung thực, Tester Lab
5. Thử mật khẩu sai một lần</t>
  </si>
  <si>
    <t>Đăng nhập thành công, vào Teacher Studio; đủ 12 mục menu; không thấy chức năng chỉ dành cho học viên; mật khẩu sai bị từ chối với thông báo rõ</t>
  </si>
  <si>
    <t>Critical</t>
  </si>
  <si>
    <t>UAT-02</t>
  </si>
  <si>
    <t>Xem tổng quan lớp (Lớp của tôi &gt; Tổng quan lớp)</t>
  </si>
  <si>
    <t>Giảng viên theo dõi tiến độ lớp bằng các chỉ số tổng quan</t>
  </si>
  <si>
    <t>Giảng viên có ít nhất 1 lớp có học viên đã làm bài</t>
  </si>
  <si>
    <t>1. Mở 'Lớp của tôi'
2. Chọn lớp trong tab 'Lớp học'
3. Mở tab 'Tổng quan lớp'
4. Đọc 5 chỉ số: Hoàn thành, Tỷ lệ đạt, Lần thử TB, Dùng gợi ý, Quy mô
5. Đọc bảng 'Kỹ năng khó nhất' và bảng 'Học viên'</t>
  </si>
  <si>
    <t>Số liệu khớp dữ liệu thật (ví dụ lớp test1: 3 học viên, 1 bài, hoàn thành 67%); bảng Học viên có Đạt/bài giao, Bài đã thử, Lần thử TB, Gợi ý, Gần nhất; giảng viên nhận ra học viên cần hỗ trợ</t>
  </si>
  <si>
    <t>High</t>
  </si>
  <si>
    <t>Lớp 'test1' hiện có 3 học viên (Bé Bo, he, lop69), hoàn thành 67% (2/3 lượt), tỷ lệ đạt 100%; học viên lop69 chưa thử bài.</t>
  </si>
  <si>
    <t>UAT-03</t>
  </si>
  <si>
    <t>Giao bài cho lớp (Lớp của tôi &gt; Giao bài)</t>
  </si>
  <si>
    <t>Giảng viên chọn bài từ ngân hàng và giao cho lớp</t>
  </si>
  <si>
    <t>Có lớp; có bài Published trong ngân hàng</t>
  </si>
  <si>
    <t>1. Mở 'Lớp của tôi' &gt; tab 'Giao bài'
2. Chọn lớp
3. Chọn bài cần giao
4. Lưu
5. Tải lại trang và kiểm tra danh sách bài đã giao
6. Mở lại tab 'Tổng quan lớp' xem 'Quy mô' (số bài) cập nhật</t>
  </si>
  <si>
    <t>Danh sách bài giao được lưu đúng, hiển thị lại sau khi tải trang; số bài ở 'Tổng quan lớp' khớp</t>
  </si>
  <si>
    <t>UAT-04</t>
  </si>
  <si>
    <t>Soạn bài lập trình và xuất bản (Soạn Thảo Bài Thi)</t>
  </si>
  <si>
    <t>Giảng viên tạo bài lập trình có chuẩn đầu ra, test case, 3 tầng gợi ý và xuất bản</t>
  </si>
  <si>
    <t>Tài khoản giảng viên; chọn 'Bài Lập trình'</t>
  </si>
  <si>
    <t>1. Mở 'Soạn Thảo Bài Thi'
2. Nhập Tiêu đề, Độ khó, Điểm thưởng, Mô tả
3. Nhập Chuẩn đầu ra (Learning Outcome)
4. Thêm ≥2 TestCase, nhập Solution Code
5. Điền 3 tầng gợi ý (dùng 'Nạp từ Solution Code' cho tầng 3)
6. Quan sát 'Validation Guard'
7. Bấm 'Lưu bản nháp', rồi 'Xuất bản bài học'
8. Thử Preview, Export</t>
  </si>
  <si>
    <t>Validation Guard báo thiếu sót rõ ràng (learning outcome, test case); lưu nháp và xuất bản thành công; bài xuất bản xuất hiện đúng ở 'Xem Các Bài Thi'; Slug tự sinh đúng</t>
  </si>
  <si>
    <t>Trang có sẵn Validation Guard, 3 tầng gợi ý, khối giao Resource Day 26 (3 resource, version v1.0/v1.1), nút Chọn từ Ngân hàng đề, Import, Export, Preview.</t>
  </si>
  <si>
    <t>UAT-05</t>
  </si>
  <si>
    <t>Quản lý thư viện bài (Xem Các Bài Thi)</t>
  </si>
  <si>
    <t>Giảng viên tìm, lọc, sửa, xem và xóa bài trong thư viện</t>
  </si>
  <si>
    <t>Thư viện có bài Published và Draft</t>
  </si>
  <si>
    <t>1. Mở 'Xem Các Bài Thi'
2. Đọc các tab 'Tất cả', 'Lập trình', 'Trắc nghiệm' và bộ lọc trạng thái
3. Mở 'Xem' một bài
4. Mở 'Sửa' một bài, quay lại
5. Kiểm tra số lượng đếm ở từng tab có khớp nhau
6. (Không xóa bài thật) đọc cảnh báo của nút 'Xóa'</t>
  </si>
  <si>
    <t>Số lượng ở các tab khớp tổng; Xem/Sửa mở đúng bài; Xóa có xác nhận trước khi thực hiện</t>
  </si>
  <si>
    <t>Cần đối chiếu số đếm: lúc quan sát 'Tất cả (64)' nhưng 'Lập trình (47)' + 'Trắc nghiệm (0)' và 'Published (62)' + 'Draft (0)' đều không bằng 64.</t>
  </si>
  <si>
    <t>UAT-06</t>
  </si>
  <si>
    <t>AI tạo đề và lưu ngân hàng (AI Tạo Đề)</t>
  </si>
  <si>
    <t>Giảng viên sinh đề từ mục tiêu học, kiểm tra lời giải và lưu</t>
  </si>
  <si>
    <t>Có GEMINI_API_KEY hoặc chấp nhận chế độ Stub (ghi rõ trong kết quả)</t>
  </si>
  <si>
    <t>1. Mở 'AI Tạo Đề'
2. Nhập Learning outcome, chọn Mức độ, Tags, Constraints
3. Bấm 'Sinh bài tập'
4. Đọc đề bài, Reference solution, kết quả test (n/m pass)
5. Bấm 'Sửa' nếu cần chỉnh
6. Bấm 'Lưu vào ngân hàng đề' khi bài đạt</t>
  </si>
  <si>
    <t>Đề bám sát mục tiêu; Reference solution pass hết test mới được lưu; bài lưu xuất hiện trong 'Xem Các Bài Thi'</t>
  </si>
  <si>
    <t>Lần chạy thử 11/10 ở chế độ Stub: đề 'So sánh hai số nguyên' không khớp mục tiêu nhập và lời giải 0/4 test, nút lưu bị chặn.</t>
  </si>
  <si>
    <t>UAT-07</t>
  </si>
  <si>
    <t>Tạo và theo dõi cuộc thi (Quản Lý Cuộc Thi)</t>
  </si>
  <si>
    <t>Giảng viên tạo cuộc thi gồm trắc nghiệm và bài code, xem kết quả</t>
  </si>
  <si>
    <t>Có bài trắc nghiệm/code trong ngân hàng</t>
  </si>
  <si>
    <t>1. Mở 'Quản Lý Cuộc Thi', đọc các tab Tất cả/Đang diễn ra/Sắp diễn ra/Đã kết thúc/Bản nháp
2. Bấm 'Tạo cuộc thi', nhập thời gian, thời lượng, chọn bài, bật giám sát
3. Lưu bản nháp
4. Mở 'Sửa' một cuộc thi nháp
5. Mở 'Kết quả' của cuộc thi đã kết thúc</t>
  </si>
  <si>
    <t>Tạo/sửa được cuộc thi; thông tin giờ, thời lượng, số câu, điểm hiển thị đúng; Kết quả hiển thị đúng và đọc hiểu được</t>
  </si>
  <si>
    <t>Hiện có 5 cuộc thi (1 nháp, 4 đã kết thúc); các cuộc thi đã kết thúc đều '0 đăng ký'.</t>
  </si>
  <si>
    <t>UAT-08</t>
  </si>
  <si>
    <t>Xem và chấm Bài nộp Lab (Bài nộp Lab)</t>
  </si>
  <si>
    <t>Giảng viên xem bài nộp DA Lab SQL, Insight, AI Lab và chấm điểm</t>
  </si>
  <si>
    <t>Có ít nhất 1 bài nộp mỗi loại do học viên test nộp</t>
  </si>
  <si>
    <t>Điểm hợp lệ được lưu; điểm ngoài phạm vi bị chặn; học viên thấy điểm và nhận xét; học viên không mở được trang giảng viên (403)</t>
  </si>
  <si>
    <t>UAT-09</t>
  </si>
  <si>
    <t>Chấm Insight từ hàng chờ (Chấm Insight)</t>
  </si>
  <si>
    <t>Giảng viên chấm các bài Insight mà AI không chấm được</t>
  </si>
  <si>
    <t>Có bài Insight ở trạng thái chờ giảng viên</t>
  </si>
  <si>
    <t>1. Mở 'Chấm Insight'
2. Đọc mô tả hàng chờ (cũ nhất xếp trước)
3. Mở bài đầu tiên, đọc câu trả lời
4. Chấm điểm và nhận xét, lưu
5. Kiểm tra bài rời khỏi hàng chờ</t>
  </si>
  <si>
    <t>Bài xếp đúng thứ tự cũ nhất trước; chấm được; bài đã chấm biến mất khỏi hàng chờ; học viên thấy kết quả</t>
  </si>
  <si>
    <t>Lúc quan sát trang báo 'Không còn bài nào chờ chấm.'</t>
  </si>
  <si>
    <t>UAT-10</t>
  </si>
  <si>
    <t>Xem xét tính trung thực (Xem xét trung thực)</t>
  </si>
  <si>
    <t>Giảng viên xử lý các bài bị hệ thống đánh dấu</t>
  </si>
  <si>
    <t>Có bài bị đánh dấu integrity</t>
  </si>
  <si>
    <t>1. Mở 'Xem xét trung thực'
2. Đọc lời giải thích (hệ thống chỉ đánh dấu, không tự kết tội)
3. Mở tab 'Cần xem xét', chọn một cảnh báo, đọc bằng chứng
4. Đưa ra quyết định, chuyển sang tab 'Đã duyệt'</t>
  </si>
  <si>
    <t>Thông tin đủ để hiểu lý do cảnh báo; quyết định được lưu; bài chuyển đúng tab; không tự trừ điểm hoặc hủy bài</t>
  </si>
  <si>
    <t>UAT-11</t>
  </si>
  <si>
    <t>Quality &amp; QA Harness</t>
  </si>
  <si>
    <t>Giảng viên chạy smoke test và hiểu cổng chất lượng trước khi phát hành</t>
  </si>
  <si>
    <t>Tài khoản giảng viên; BE đang chạy</t>
  </si>
  <si>
    <t>1. Mở 'Quality &amp; QA Harness'
2. Bấm 'Chạy E2E Smoke Tests'
3. Bấm 'Chạy AI Coach Regression'
4. Đọc 4 chỉ số: Tổng bài test, Đã vượt qua, Thất bại, Bypassed
5. Thử 'Bypass KHÔNG điền lý do' (kỳ vọng bị chặn 400) và 'Bypass KÈM lý do hợp lệ'</t>
  </si>
  <si>
    <t>Kết quả khớp thực tế; bypass không lý do bị chặn; bypass có lý do được ghi nhận; trạng thái 'READY TO RELEASE' đúng với kết quả</t>
  </si>
  <si>
    <t>Medium</t>
  </si>
  <si>
    <t>Lúc quan sát: 7/7 test pass, 0 thất bại; cần kiểm tra số liệu có cập nhật thật sau khi bấm chạy hay là dữ liệu tĩnh.</t>
  </si>
  <si>
    <t>UAT-12</t>
  </si>
  <si>
    <t>Usability theo nhóm tuổi (Usability &amp; Age UI)</t>
  </si>
  <si>
    <t>Giảng viên đọc báo cáo usability và ghi nhận phiên kiểm thử mới</t>
  </si>
  <si>
    <t>Tài khoản giảng viên</t>
  </si>
  <si>
    <t>1. Mở 'Usability &amp; Age UI'
2. Bấm 'Thử Chế Độ Chữ To (Kids Mode)', kiểm tra giao diện
3. Đọc thống kê 3 nhóm tuổi
4. Gửi một phiên cho nhóm 'Người lớn (18+)'
5. Chọn nhóm 'Trẻ em (8-12)', bỏ chọn 'Parental Consent', gửi (kỳ vọng bị chặn 400)</t>
  </si>
  <si>
    <t>Số liệu dễ đọc; Kids Mode hoạt động; phiên hợp lệ được lưu và số mẫu tăng; thiếu Parental Consent ở nhóm trẻ em bị chặn</t>
  </si>
  <si>
    <t>Trang hiện 3 nhóm tuổi (mẫu 2, 1, 1 phiên) và 5 cải tiến UX; cần xác định số liệu 'Before/After' có nguồn đo thật không.</t>
  </si>
  <si>
    <t>UAT-13</t>
  </si>
  <si>
    <t>Bảo mật, tải và khôi phục (Bảo Mật &amp; Tải)</t>
  </si>
  <si>
    <t>Giảng viên/quản trị xem báo cáo bảo mật và thử mô phỏng tải</t>
  </si>
  <si>
    <t>1. Mở 'Bảo Mật &amp; Tải'
2. Đọc 4 mục Security Audit (AUTH, IDOR, RATE_LIMIT, FILE_UPLOAD)
3. Bấm 'Chạy Load Test', đọc Throughput, Tỷ lệ thành công, Workers, Độ trễ
4. Bấm 'Thử Worker Crash / Restart'
5. Đọc 'Giới hạn vận hành'</t>
  </si>
  <si>
    <t>Kết quả hiển thị rõ, thay đổi sau mỗi lần chạy; sau Worker Crash không mất bài nộp; giới hạn vận hành (500 req/phút, 10 MB, 50 worker, retry 3 lần) được hiển thị</t>
  </si>
  <si>
    <t>Lúc quan sát: 185,5 req/s, 100% thành công, 12/50 worker, 42 ms; cần xác định số liệu có phải đo thật khi chạy không.</t>
  </si>
  <si>
    <t>UAT-14</t>
  </si>
  <si>
    <t>Luồng đầu-cuối: giao bài đến xem kết quả</t>
  </si>
  <si>
    <t>Xác nhận luồng nghiệp vụ chính giữa giảng viên và học viên</t>
  </si>
  <si>
    <t>Có giảng viên + học viên test cùng lớp; bài hợp lệ</t>
  </si>
  <si>
    <t>1. Giảng viên giao bài cho lớp (Giao bài)
2. Học viên đăng nhập, mở bài được giao
3. Học viên nộp bài
4. Hệ thống chấm tự động (hoặc vào hàng chờ chấm)
5. Giảng viên mở 'Tổng quan lớp' / 'Bài nộp Lab' xem kết quả
6. Học viên xem điểm và nhận xét</t>
  </si>
  <si>
    <t>Toàn bộ luồng hoàn tất; đúng bài, đúng người, đúng điểm, đúng quyền; số liệu lớp cập nhật</t>
  </si>
  <si>
    <t>Phần nộp, chấm, review đã PASS bằng API ở Day 27 (19/19 bước); chưa chạy trọn trên giao diện.</t>
  </si>
  <si>
    <t>Issue và quyết định ưu tiên</t>
  </si>
  <si>
    <t>UAT ID</t>
  </si>
  <si>
    <t>Mô tả</t>
  </si>
  <si>
    <t>Mức độ</t>
  </si>
  <si>
    <t>Owner</t>
  </si>
  <si>
    <t>Deadline</t>
  </si>
  <si>
    <t>Quyết định</t>
  </si>
  <si>
    <t>Trạng thái</t>
  </si>
  <si>
    <t>UAT-DEF-01</t>
  </si>
  <si>
    <t>AI Tạo Đề ở chế độ Stub (chưa có GEMINI_API_KEY): đề sinh ra không khớp mục tiêu nhập; Reference solution 0/4 test nên không lưu được. Cần xác minh khi có Gemini key và phân biệt lỗi stub với lỗi chạy test.</t>
  </si>
  <si>
    <t>MUST FIX</t>
  </si>
  <si>
    <t>OPEN</t>
  </si>
  <si>
    <t>UAT-DEF-02</t>
  </si>
  <si>
    <t>Số đếm ở thư viện 'Xem Các Bài Thi' không khớp: 'Tất cả (64)' trong khi 'Lập trình (47)' + 'Trắc nghiệm (0)', và 'Published (62)' + 'Draft (0)'. Cần xác minh nguyên nhân (loại bài khác hay lỗi đếm).</t>
  </si>
  <si>
    <t>NEXT</t>
  </si>
  <si>
    <t>đã giao bài tập và pass</t>
  </si>
  <si>
    <t>chưa có giảng viên thật</t>
  </si>
  <si>
    <t>Menu 12 mục đã quan sát được ở phiên giảng viên</t>
  </si>
  <si>
    <t>NONE</t>
  </si>
  <si>
    <t xml:space="preserve">Mục Hệ thống ghi nhận thời gian làm bài và số lần bạn chuyển sang cửa sổ/tab khác trong cá tác dụng trong code Playground, ở mục </t>
  </si>
  <si>
    <t xml:space="preserve">1. Mở 'Bài nộp Lab'
2. Lần lượt mở 3 tab: 'DA Lab · SQL', 'DA Lab · Insight', 'AI Lab'
3. Chọn một bài, đọc nội dung/artifact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</si>
</sst>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ont>
    <font>
      <sz val="10"/>
      <name val="Arial"/>
    </font>
    <font>
      <sz val="11"/>
      <name val="Calibri"/>
    </font>
    <font>
      <b/>
      <sz val="16"/>
      <color rgb="FFFFFFFF"/>
      <name val="Arial"/>
    </font>
    <font>
      <b/>
      <sz val="10"/>
      <color rgb="FFFFFFFF"/>
      <name val="Arial"/>
    </font>
    <font>
      <b/>
      <sz val="10"/>
      <name val="Arial"/>
    </font>
    <font>
      <b/>
      <sz val="17"/>
      <color rgb="FFFFFFFF"/>
      <name val="Arial"/>
    </font>
    <font>
      <b/>
      <sz val="10"/>
      <color rgb="FF244062"/>
      <name val="Arial"/>
    </font>
    <font>
      <b/>
      <sz val="12"/>
      <name val="Arial"/>
    </font>
    <font>
      <i/>
      <sz val="9"/>
      <color rgb="FF7F6000"/>
      <name val="Arial"/>
    </font>
    <font>
      <sz val="10"/>
      <color rgb="FF244062"/>
      <name val="Arial"/>
    </font>
    <font>
      <b/>
      <sz val="10"/>
      <color rgb="FF1F4E78"/>
      <name val="Arial"/>
    </font>
  </fonts>
  <fills count="6">
    <fill>
      <patternFill patternType="none"/>
    </fill>
    <fill>
      <patternFill patternType="gray125"/>
    </fill>
    <fill>
      <patternFill patternType="solid">
        <fgColor rgb="FF17365D"/>
      </patternFill>
    </fill>
    <fill>
      <patternFill patternType="solid">
        <fgColor rgb="FFEEF5FB"/>
      </patternFill>
    </fill>
    <fill>
      <patternFill patternType="solid">
        <fgColor rgb="FF4472C4"/>
      </patternFill>
    </fill>
    <fill>
      <patternFill patternType="solid">
        <fgColor rgb="FFFFF2CC"/>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 fillId="0" borderId="0"/>
  </cellStyleXfs>
  <cellXfs count="32">
    <xf numFmtId="0" fontId="0" fillId="0" borderId="0" xfId="0"/>
    <xf numFmtId="0" fontId="3" fillId="0" borderId="0" xfId="1" applyFont="1" applyAlignment="1">
      <alignment horizontal="left" vertical="center"/>
    </xf>
    <xf numFmtId="0" fontId="1" fillId="0" borderId="1" xfId="1" applyBorder="1"/>
    <xf numFmtId="0" fontId="1" fillId="0" borderId="0" xfId="1"/>
    <xf numFmtId="0" fontId="1" fillId="0" borderId="1" xfId="1" applyBorder="1" applyAlignment="1">
      <alignment vertical="top" wrapText="1"/>
    </xf>
    <xf numFmtId="0" fontId="1" fillId="0" borderId="1" xfId="1" applyBorder="1" applyAlignment="1">
      <alignment horizontal="center" vertical="center" wrapText="1"/>
    </xf>
    <xf numFmtId="0" fontId="5" fillId="0" borderId="1" xfId="1" applyFont="1" applyBorder="1" applyAlignment="1">
      <alignment horizontal="center" vertical="center" wrapText="1"/>
    </xf>
    <xf numFmtId="0" fontId="0" fillId="0" borderId="3" xfId="0" applyBorder="1"/>
    <xf numFmtId="0" fontId="0" fillId="0" borderId="3" xfId="0" applyBorder="1" applyAlignment="1">
      <alignment vertical="top" wrapText="1"/>
    </xf>
    <xf numFmtId="0" fontId="0" fillId="0" borderId="0" xfId="0" applyAlignment="1">
      <alignment vertical="top" wrapText="1"/>
    </xf>
    <xf numFmtId="0" fontId="7" fillId="3" borderId="0" xfId="0" applyFont="1" applyFill="1" applyAlignment="1">
      <alignment vertical="top" wrapText="1"/>
    </xf>
    <xf numFmtId="0" fontId="4" fillId="4" borderId="0" xfId="0" applyFont="1" applyFill="1" applyAlignment="1">
      <alignment horizontal="center" vertical="center"/>
    </xf>
    <xf numFmtId="0" fontId="7" fillId="3" borderId="0" xfId="0" applyFont="1" applyFill="1" applyAlignment="1">
      <alignment vertical="center"/>
    </xf>
    <xf numFmtId="0" fontId="8" fillId="0" borderId="0" xfId="0" applyFont="1" applyAlignment="1">
      <alignment horizontal="center" vertical="center"/>
    </xf>
    <xf numFmtId="0" fontId="0" fillId="5" borderId="0" xfId="0" applyFill="1" applyAlignment="1">
      <alignment vertical="top" wrapText="1"/>
    </xf>
    <xf numFmtId="0" fontId="0" fillId="5" borderId="0" xfId="0" applyFill="1" applyAlignment="1">
      <alignment vertical="center" wrapText="1"/>
    </xf>
    <xf numFmtId="0" fontId="3" fillId="2" borderId="3" xfId="0" applyFont="1" applyFill="1" applyBorder="1" applyAlignment="1">
      <alignment vertical="center"/>
    </xf>
    <xf numFmtId="0" fontId="4" fillId="4"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1" xfId="0" applyBorder="1" applyAlignment="1">
      <alignment vertical="top" wrapText="1"/>
    </xf>
    <xf numFmtId="0" fontId="0" fillId="5" borderId="1" xfId="0" applyFill="1" applyBorder="1" applyAlignment="1">
      <alignment vertical="top" wrapText="1"/>
    </xf>
    <xf numFmtId="0" fontId="0" fillId="5" borderId="3" xfId="0" applyFill="1" applyBorder="1" applyAlignment="1">
      <alignment vertical="top" wrapText="1"/>
    </xf>
    <xf numFmtId="0" fontId="10" fillId="3" borderId="3" xfId="0" applyFont="1" applyFill="1" applyBorder="1" applyAlignment="1">
      <alignment vertical="top" wrapText="1"/>
    </xf>
    <xf numFmtId="0" fontId="11" fillId="0" borderId="1" xfId="0" applyFont="1" applyBorder="1" applyAlignment="1">
      <alignment horizontal="center" vertical="top" wrapText="1"/>
    </xf>
    <xf numFmtId="0" fontId="11" fillId="0" borderId="3" xfId="0" applyFont="1" applyBorder="1" applyAlignment="1">
      <alignment horizontal="center" vertical="top" wrapText="1"/>
    </xf>
    <xf numFmtId="0" fontId="0" fillId="0" borderId="3" xfId="0" applyBorder="1" applyAlignment="1">
      <alignment horizontal="center" vertical="top" wrapText="1"/>
    </xf>
    <xf numFmtId="0" fontId="5" fillId="0" borderId="1" xfId="0" applyFont="1" applyBorder="1" applyAlignment="1">
      <alignment vertical="top" wrapText="1"/>
    </xf>
    <xf numFmtId="0" fontId="1" fillId="0" borderId="3" xfId="1" applyBorder="1"/>
    <xf numFmtId="0" fontId="6" fillId="2" borderId="0" xfId="0" applyFont="1" applyFill="1" applyAlignment="1">
      <alignment horizontal="left" vertical="center"/>
    </xf>
    <xf numFmtId="0" fontId="9" fillId="5" borderId="2" xfId="0" applyFont="1" applyFill="1" applyBorder="1" applyAlignment="1">
      <alignment vertical="top" wrapText="1"/>
    </xf>
    <xf numFmtId="0" fontId="3" fillId="2" borderId="3" xfId="0" applyFont="1" applyFill="1" applyBorder="1" applyAlignment="1">
      <alignment vertical="center"/>
    </xf>
    <xf numFmtId="0" fontId="3" fillId="2" borderId="1" xfId="0" applyFont="1" applyFill="1" applyBorder="1" applyAlignment="1">
      <alignment vertical="center"/>
    </xf>
  </cellXfs>
  <cellStyles count="3">
    <cellStyle name="Normal" xfId="0" builtinId="0"/>
    <cellStyle name="Normal 2" xfId="2" xr:uid="{00000000-0005-0000-0000-000001000000}"/>
    <cellStyle name="Normal 3" xfId="1" xr:uid="{00000000-0005-0000-0000-000002000000}"/>
  </cellStyles>
  <dxfs count="24">
    <dxf>
      <font>
        <b/>
        <color rgb="FF375623"/>
      </font>
      <fill>
        <patternFill patternType="solid">
          <bgColor rgb="FFE2F0D9"/>
        </patternFill>
      </fill>
    </dxf>
    <dxf>
      <font>
        <b/>
        <color rgb="FF9C0006"/>
      </font>
      <fill>
        <patternFill patternType="solid">
          <bgColor rgb="FFF4CCCC"/>
        </patternFill>
      </fill>
    </dxf>
    <dxf>
      <font>
        <b/>
        <color rgb="FF7F6000"/>
      </font>
      <fill>
        <patternFill patternType="solid">
          <bgColor rgb="FFFFF2CC"/>
        </patternFill>
      </fill>
    </dxf>
    <dxf>
      <font>
        <b/>
        <color rgb="FF9C0006"/>
      </font>
      <fill>
        <patternFill patternType="solid">
          <bgColor rgb="FFF4CCCC"/>
        </patternFill>
      </fill>
    </dxf>
    <dxf>
      <font>
        <b/>
        <color rgb="FF375623"/>
      </font>
      <fill>
        <patternFill patternType="solid">
          <bgColor rgb="FFE2F0D9"/>
        </patternFill>
      </fill>
    </dxf>
    <dxf>
      <font>
        <b/>
        <color rgb="FF7F6000"/>
      </font>
      <fill>
        <patternFill patternType="solid">
          <bgColor rgb="FFFFF2CC"/>
        </patternFill>
      </fill>
    </dxf>
    <dxf>
      <font>
        <b/>
        <color rgb="FF9C0006"/>
      </font>
      <fill>
        <patternFill patternType="solid">
          <bgColor rgb="FFF4CCCC"/>
        </patternFill>
      </fill>
    </dxf>
    <dxf>
      <font>
        <b/>
        <color rgb="FFFFFFFF"/>
      </font>
      <fill>
        <patternFill patternType="solid">
          <bgColor rgb="FFC00000"/>
        </patternFill>
      </fill>
    </dxf>
    <dxf>
      <font>
        <b/>
        <color rgb="FF9C0006"/>
      </font>
      <fill>
        <patternFill patternType="solid">
          <bgColor rgb="FFF4CCCC"/>
        </patternFill>
      </fill>
    </dxf>
    <dxf>
      <font>
        <b/>
        <color rgb="FF9C0006"/>
      </font>
      <fill>
        <patternFill patternType="solid">
          <bgColor rgb="FFF4CCCC"/>
        </patternFill>
      </fill>
    </dxf>
    <dxf>
      <font>
        <b/>
        <color rgb="FF7F6000"/>
      </font>
      <fill>
        <patternFill patternType="solid">
          <bgColor rgb="FFFFF2CC"/>
        </patternFill>
      </fill>
    </dxf>
    <dxf>
      <font>
        <b/>
        <color rgb="FF7F6000"/>
      </font>
      <fill>
        <patternFill patternType="solid">
          <bgColor rgb="FFFFF2CC"/>
        </patternFill>
      </fill>
    </dxf>
    <dxf>
      <font>
        <b/>
        <color rgb="FF375623"/>
      </font>
      <fill>
        <patternFill patternType="solid">
          <bgColor rgb="FFE2F0D9"/>
        </patternFill>
      </fill>
    </dxf>
    <dxf>
      <font>
        <b/>
        <color rgb="FF375623"/>
      </font>
      <fill>
        <patternFill patternType="solid">
          <bgColor rgb="FFE2F0D9"/>
        </patternFill>
      </fill>
    </dxf>
    <dxf>
      <font>
        <b/>
        <color rgb="FF9C0006"/>
      </font>
      <fill>
        <patternFill patternType="solid">
          <bgColor rgb="FFF4CCCC"/>
        </patternFill>
      </fill>
    </dxf>
    <dxf>
      <font>
        <b/>
        <color rgb="FF9C0006"/>
      </font>
      <fill>
        <patternFill patternType="solid">
          <bgColor rgb="FFF4CCCC"/>
        </patternFill>
      </fill>
    </dxf>
    <dxf>
      <font>
        <b/>
        <color rgb="FF7F6000"/>
      </font>
      <fill>
        <patternFill patternType="solid">
          <bgColor rgb="FFFFF2CC"/>
        </patternFill>
      </fill>
    </dxf>
    <dxf>
      <font>
        <b/>
        <color rgb="FF7F6000"/>
      </font>
      <fill>
        <patternFill patternType="solid">
          <bgColor rgb="FFFFF2CC"/>
        </patternFill>
      </fill>
    </dxf>
    <dxf>
      <font>
        <b/>
        <color rgb="FF375623"/>
      </font>
      <fill>
        <patternFill patternType="solid">
          <bgColor rgb="FFE2F0D9"/>
        </patternFill>
      </fill>
    </dxf>
    <dxf>
      <font>
        <b/>
        <color rgb="FF375623"/>
      </font>
      <fill>
        <patternFill patternType="solid">
          <bgColor rgb="FFE2F0D9"/>
        </patternFill>
      </fill>
    </dxf>
    <dxf>
      <font>
        <b/>
        <color rgb="FF375623"/>
      </font>
      <fill>
        <patternFill patternType="solid">
          <bgColor rgb="FFE2F0D9"/>
        </patternFill>
      </fill>
    </dxf>
    <dxf>
      <font>
        <b/>
        <color rgb="FF7F6000"/>
      </font>
      <fill>
        <patternFill patternType="solid">
          <bgColor rgb="FFFFF2CC"/>
        </patternFill>
      </fill>
    </dxf>
    <dxf>
      <font>
        <b/>
        <color rgb="FF9C0006"/>
      </font>
      <fill>
        <patternFill patternType="solid">
          <bgColor rgb="FFF4CCCC"/>
        </patternFill>
      </fill>
    </dxf>
    <dxf>
      <font>
        <b/>
        <color rgb="FFFFFFFF"/>
      </font>
      <fill>
        <patternFill patternType="solid">
          <bgColor rgb="FFC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8C8D"/>
      <rgbColor rgb="FF5B9BD5"/>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6F9"/>
      <rgbColor rgb="FFD9EAD3"/>
      <rgbColor rgb="FFFFFF99"/>
      <rgbColor rgb="FF99CCFF"/>
      <rgbColor rgb="FFFF99CC"/>
      <rgbColor rgb="FFCC99FF"/>
      <rgbColor rgb="FFF4CCCC"/>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H29"/>
  <sheetViews>
    <sheetView showGridLines="0" workbookViewId="0">
      <pane ySplit="2" topLeftCell="A3" activePane="bottomLeft" state="frozen"/>
      <selection pane="bottomLeft"/>
    </sheetView>
  </sheetViews>
  <sheetFormatPr defaultColWidth="8.7109375" defaultRowHeight="12.75"/>
  <cols>
    <col min="1" max="1" width="31" style="2" customWidth="1"/>
    <col min="2" max="2" width="75" style="2" customWidth="1"/>
    <col min="3" max="16384" width="8.7109375" style="2"/>
  </cols>
  <sheetData>
    <row r="2" spans="1:8" ht="30" customHeight="1">
      <c r="A2" s="28" t="s">
        <v>0</v>
      </c>
      <c r="B2" s="28"/>
      <c r="C2" s="1"/>
      <c r="D2" s="1"/>
      <c r="E2" s="1"/>
      <c r="F2" s="1"/>
      <c r="G2" s="1"/>
      <c r="H2" s="1"/>
    </row>
    <row r="4" spans="1:8" ht="21.75" customHeight="1">
      <c r="A4" s="10" t="s">
        <v>1</v>
      </c>
      <c r="B4" s="9" t="s">
        <v>2</v>
      </c>
    </row>
    <row r="5" spans="1:8" ht="21.75" customHeight="1">
      <c r="A5" s="10" t="s">
        <v>3</v>
      </c>
      <c r="B5" s="9" t="s">
        <v>4</v>
      </c>
    </row>
    <row r="6" spans="1:8" ht="21.75" customHeight="1">
      <c r="A6" s="10" t="s">
        <v>5</v>
      </c>
      <c r="B6" s="9" t="s">
        <v>6</v>
      </c>
    </row>
    <row r="7" spans="1:8" ht="31.5" customHeight="1">
      <c r="A7" s="10" t="s">
        <v>7</v>
      </c>
      <c r="B7" s="14"/>
    </row>
    <row r="8" spans="1:8" ht="31.5" customHeight="1">
      <c r="A8" s="10" t="s">
        <v>8</v>
      </c>
      <c r="B8" s="14"/>
    </row>
    <row r="9" spans="1:8" ht="31.5" customHeight="1">
      <c r="A9" s="10" t="s">
        <v>9</v>
      </c>
      <c r="B9" s="9" t="s">
        <v>10</v>
      </c>
    </row>
    <row r="10" spans="1:8" ht="31.5" customHeight="1">
      <c r="A10" s="10" t="s">
        <v>11</v>
      </c>
      <c r="B10" s="9" t="s">
        <v>12</v>
      </c>
    </row>
    <row r="11" spans="1:8" ht="21.75" customHeight="1"/>
    <row r="12" spans="1:8" ht="21.75" customHeight="1">
      <c r="A12" s="11" t="s">
        <v>13</v>
      </c>
      <c r="B12" s="11" t="s">
        <v>14</v>
      </c>
    </row>
    <row r="13" spans="1:8" ht="21.75" customHeight="1">
      <c r="A13" s="12" t="s">
        <v>15</v>
      </c>
      <c r="B13" s="13">
        <v>14</v>
      </c>
    </row>
    <row r="14" spans="1:8" ht="21.75" customHeight="1">
      <c r="A14" s="12" t="s">
        <v>16</v>
      </c>
      <c r="B14" s="13">
        <f>COUNTIF('UAT Cases'!$M$5:$M$18,"&lt;&gt;")</f>
        <v>0</v>
      </c>
    </row>
    <row r="15" spans="1:8" ht="21.75" customHeight="1">
      <c r="A15" s="12" t="s">
        <v>17</v>
      </c>
      <c r="B15" s="13">
        <f>COUNTIF('UAT Cases'!$M$5:$M$18,"ACCEPTED")</f>
        <v>0</v>
      </c>
    </row>
    <row r="16" spans="1:8" ht="21.75" customHeight="1">
      <c r="A16" s="12" t="s">
        <v>18</v>
      </c>
      <c r="B16" s="13">
        <f>COUNTIF('UAT Cases'!$M$5:$M$18,"ACCEPTED WITH CONDITION")</f>
        <v>0</v>
      </c>
    </row>
    <row r="17" spans="1:8" ht="21.75" customHeight="1">
      <c r="A17" s="12" t="s">
        <v>19</v>
      </c>
      <c r="B17" s="13">
        <f>COUNTIF('UAT Cases'!$M$5:$M$18,"REJECTED")</f>
        <v>0</v>
      </c>
    </row>
    <row r="18" spans="1:8" ht="21.75" customHeight="1">
      <c r="A18" s="12" t="s">
        <v>20</v>
      </c>
      <c r="B18" s="13">
        <f>B13-B14</f>
        <v>14</v>
      </c>
    </row>
    <row r="19" spans="1:8" ht="21.75" customHeight="1"/>
    <row r="20" spans="1:8" ht="21.75" customHeight="1">
      <c r="A20" s="11" t="s">
        <v>21</v>
      </c>
      <c r="B20" s="11" t="s">
        <v>22</v>
      </c>
    </row>
    <row r="21" spans="1:8" ht="30" customHeight="1">
      <c r="A21" s="10" t="s">
        <v>23</v>
      </c>
      <c r="B21" s="9" t="s">
        <v>24</v>
      </c>
    </row>
    <row r="22" spans="1:8" ht="30" customHeight="1">
      <c r="A22" s="10" t="s">
        <v>25</v>
      </c>
      <c r="B22" s="9" t="s">
        <v>26</v>
      </c>
    </row>
    <row r="23" spans="1:8" ht="30" customHeight="1">
      <c r="A23" s="10" t="s">
        <v>27</v>
      </c>
      <c r="B23" s="9" t="s">
        <v>28</v>
      </c>
    </row>
    <row r="24" spans="1:8" ht="21.75" customHeight="1">
      <c r="A24" s="12" t="s">
        <v>29</v>
      </c>
      <c r="B24" s="15"/>
    </row>
    <row r="25" spans="1:8" ht="21.75" customHeight="1">
      <c r="A25" s="12" t="s">
        <v>30</v>
      </c>
      <c r="B25" s="15"/>
    </row>
    <row r="27" spans="1:8" ht="62.1" customHeight="1">
      <c r="A27" s="29" t="s">
        <v>31</v>
      </c>
      <c r="B27" s="29"/>
      <c r="H27" s="3"/>
    </row>
    <row r="28" spans="1:8">
      <c r="H28" s="3"/>
    </row>
    <row r="29" spans="1:8">
      <c r="H29" s="3"/>
    </row>
  </sheetData>
  <mergeCells count="2">
    <mergeCell ref="A2:B2"/>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2:O18"/>
  <sheetViews>
    <sheetView showGridLines="0" tabSelected="1" workbookViewId="0">
      <pane xSplit="2" ySplit="4" topLeftCell="I5" activePane="bottomRight" state="frozen"/>
      <selection pane="topRight"/>
      <selection pane="bottomLeft"/>
      <selection pane="bottomRight" activeCell="O17" sqref="O17"/>
    </sheetView>
  </sheetViews>
  <sheetFormatPr defaultColWidth="45" defaultRowHeight="12.75"/>
  <cols>
    <col min="1" max="1" width="10" style="27" customWidth="1"/>
    <col min="2" max="2" width="83.85546875" style="27" customWidth="1"/>
    <col min="3" max="3" width="32" style="7" customWidth="1"/>
    <col min="4" max="4" width="34" style="7" customWidth="1"/>
    <col min="5" max="5" width="44" style="27" customWidth="1"/>
    <col min="6" max="6" width="40" style="27" customWidth="1"/>
    <col min="7" max="7" width="12" style="27" customWidth="1"/>
    <col min="8" max="8" width="34" style="27" customWidth="1"/>
    <col min="9" max="9" width="13" style="7" customWidth="1"/>
    <col min="10" max="10" width="18" style="7" customWidth="1"/>
    <col min="11" max="11" width="32" style="27" customWidth="1"/>
    <col min="12" max="12" width="20" style="27" customWidth="1"/>
    <col min="13" max="13" width="22" style="27" customWidth="1"/>
    <col min="14" max="14" width="15" style="27" customWidth="1"/>
    <col min="15" max="15" width="42" style="7" customWidth="1"/>
    <col min="16" max="16384" width="45" style="27"/>
  </cols>
  <sheetData>
    <row r="2" spans="1:15" ht="27.75" customHeight="1">
      <c r="A2" s="30" t="s">
        <v>32</v>
      </c>
      <c r="B2" s="30"/>
      <c r="C2" s="30"/>
      <c r="D2" s="30"/>
      <c r="E2" s="30"/>
      <c r="F2" s="30"/>
      <c r="G2" s="30"/>
      <c r="H2" s="30"/>
      <c r="I2" s="30"/>
      <c r="J2" s="30"/>
      <c r="K2" s="30"/>
      <c r="L2" s="30"/>
      <c r="M2" s="30"/>
      <c r="N2" s="30"/>
      <c r="O2" s="16"/>
    </row>
    <row r="4" spans="1:15" ht="48" customHeight="1">
      <c r="A4" s="18" t="s">
        <v>33</v>
      </c>
      <c r="B4" s="18" t="s">
        <v>34</v>
      </c>
      <c r="C4" s="18" t="s">
        <v>35</v>
      </c>
      <c r="D4" s="18" t="s">
        <v>36</v>
      </c>
      <c r="E4" s="18" t="s">
        <v>37</v>
      </c>
      <c r="F4" s="18" t="s">
        <v>38</v>
      </c>
      <c r="G4" s="18" t="s">
        <v>39</v>
      </c>
      <c r="H4" s="18" t="s">
        <v>40</v>
      </c>
      <c r="I4" s="18" t="s">
        <v>41</v>
      </c>
      <c r="J4" s="18" t="s">
        <v>42</v>
      </c>
      <c r="K4" s="18" t="s">
        <v>43</v>
      </c>
      <c r="L4" s="18" t="s">
        <v>44</v>
      </c>
      <c r="M4" s="18" t="s">
        <v>45</v>
      </c>
      <c r="N4" s="18" t="s">
        <v>46</v>
      </c>
      <c r="O4" s="18" t="s">
        <v>47</v>
      </c>
    </row>
    <row r="5" spans="1:15" ht="105" customHeight="1">
      <c r="A5" s="24" t="s">
        <v>48</v>
      </c>
      <c r="B5" s="8" t="s">
        <v>49</v>
      </c>
      <c r="C5" s="8" t="s">
        <v>50</v>
      </c>
      <c r="D5" s="8" t="s">
        <v>51</v>
      </c>
      <c r="E5" s="8" t="s">
        <v>52</v>
      </c>
      <c r="F5" s="8" t="s">
        <v>53</v>
      </c>
      <c r="G5" s="25" t="s">
        <v>54</v>
      </c>
      <c r="H5" s="21"/>
      <c r="I5" s="21"/>
      <c r="J5" s="21" t="s">
        <v>157</v>
      </c>
      <c r="K5" s="21" t="s">
        <v>159</v>
      </c>
      <c r="L5" s="21"/>
      <c r="M5" s="21"/>
      <c r="N5" s="21"/>
      <c r="O5" s="22" t="s">
        <v>160</v>
      </c>
    </row>
    <row r="6" spans="1:15" ht="105" customHeight="1">
      <c r="A6" s="24" t="s">
        <v>55</v>
      </c>
      <c r="B6" s="8" t="s">
        <v>56</v>
      </c>
      <c r="C6" s="8" t="s">
        <v>57</v>
      </c>
      <c r="D6" s="8" t="s">
        <v>58</v>
      </c>
      <c r="E6" s="8" t="s">
        <v>59</v>
      </c>
      <c r="F6" s="8" t="s">
        <v>60</v>
      </c>
      <c r="G6" s="25" t="s">
        <v>61</v>
      </c>
      <c r="H6" s="21"/>
      <c r="I6" s="21"/>
      <c r="J6" s="21" t="s">
        <v>157</v>
      </c>
      <c r="K6" s="21" t="s">
        <v>159</v>
      </c>
      <c r="L6" s="21"/>
      <c r="M6" s="21"/>
      <c r="N6" s="21"/>
      <c r="O6" s="22" t="s">
        <v>62</v>
      </c>
    </row>
    <row r="7" spans="1:15" ht="105" customHeight="1">
      <c r="A7" s="24" t="s">
        <v>63</v>
      </c>
      <c r="B7" s="8" t="s">
        <v>64</v>
      </c>
      <c r="C7" s="8" t="s">
        <v>65</v>
      </c>
      <c r="D7" s="8" t="s">
        <v>66</v>
      </c>
      <c r="E7" s="8" t="s">
        <v>67</v>
      </c>
      <c r="F7" s="8" t="s">
        <v>68</v>
      </c>
      <c r="G7" s="25" t="s">
        <v>54</v>
      </c>
      <c r="H7" s="21"/>
      <c r="I7" s="21"/>
      <c r="J7" s="21" t="s">
        <v>157</v>
      </c>
      <c r="K7" s="21" t="s">
        <v>159</v>
      </c>
      <c r="L7" s="21"/>
      <c r="M7" s="21"/>
      <c r="N7" s="21"/>
      <c r="O7" s="22" t="s">
        <v>158</v>
      </c>
    </row>
    <row r="8" spans="1:15" ht="105" customHeight="1">
      <c r="A8" s="24" t="s">
        <v>69</v>
      </c>
      <c r="B8" s="8" t="s">
        <v>70</v>
      </c>
      <c r="C8" s="8" t="s">
        <v>71</v>
      </c>
      <c r="D8" s="8" t="s">
        <v>72</v>
      </c>
      <c r="E8" s="8" t="s">
        <v>73</v>
      </c>
      <c r="F8" s="8" t="s">
        <v>74</v>
      </c>
      <c r="G8" s="25" t="s">
        <v>54</v>
      </c>
      <c r="H8" s="21"/>
      <c r="I8" s="21"/>
      <c r="J8" s="21" t="s">
        <v>157</v>
      </c>
      <c r="K8" s="21" t="s">
        <v>159</v>
      </c>
      <c r="L8" s="21"/>
      <c r="M8" s="21"/>
      <c r="N8" s="21"/>
      <c r="O8" s="22" t="s">
        <v>75</v>
      </c>
    </row>
    <row r="9" spans="1:15" ht="105" customHeight="1">
      <c r="A9" s="24" t="s">
        <v>76</v>
      </c>
      <c r="B9" s="8" t="s">
        <v>77</v>
      </c>
      <c r="C9" s="8" t="s">
        <v>78</v>
      </c>
      <c r="D9" s="8" t="s">
        <v>79</v>
      </c>
      <c r="E9" s="8" t="s">
        <v>80</v>
      </c>
      <c r="F9" s="8" t="s">
        <v>81</v>
      </c>
      <c r="G9" s="25" t="s">
        <v>61</v>
      </c>
      <c r="H9" s="21"/>
      <c r="I9" s="21"/>
      <c r="J9" s="21" t="s">
        <v>157</v>
      </c>
      <c r="K9" s="21" t="s">
        <v>159</v>
      </c>
      <c r="L9" s="21"/>
      <c r="M9" s="21"/>
      <c r="N9" s="21"/>
      <c r="O9" s="22" t="s">
        <v>82</v>
      </c>
    </row>
    <row r="10" spans="1:15" ht="105" customHeight="1">
      <c r="A10" s="24" t="s">
        <v>83</v>
      </c>
      <c r="B10" s="8" t="s">
        <v>84</v>
      </c>
      <c r="C10" s="8" t="s">
        <v>85</v>
      </c>
      <c r="D10" s="8" t="s">
        <v>86</v>
      </c>
      <c r="E10" s="8" t="s">
        <v>87</v>
      </c>
      <c r="F10" s="8" t="s">
        <v>88</v>
      </c>
      <c r="G10" s="25" t="s">
        <v>61</v>
      </c>
      <c r="H10" s="21"/>
      <c r="I10" s="21"/>
      <c r="J10" s="21" t="s">
        <v>161</v>
      </c>
      <c r="K10" s="21" t="s">
        <v>159</v>
      </c>
      <c r="L10" s="21"/>
      <c r="M10" s="21"/>
      <c r="N10" s="21"/>
      <c r="O10" s="22" t="s">
        <v>89</v>
      </c>
    </row>
    <row r="11" spans="1:15" ht="105" customHeight="1">
      <c r="A11" s="24" t="s">
        <v>90</v>
      </c>
      <c r="B11" s="8" t="s">
        <v>91</v>
      </c>
      <c r="C11" s="8" t="s">
        <v>92</v>
      </c>
      <c r="D11" s="8" t="s">
        <v>93</v>
      </c>
      <c r="E11" s="8" t="s">
        <v>94</v>
      </c>
      <c r="F11" s="8" t="s">
        <v>95</v>
      </c>
      <c r="G11" s="25" t="s">
        <v>61</v>
      </c>
      <c r="H11" s="21"/>
      <c r="I11" s="21"/>
      <c r="J11" s="21" t="s">
        <v>157</v>
      </c>
      <c r="K11" s="21" t="s">
        <v>159</v>
      </c>
      <c r="L11" s="21"/>
      <c r="M11" s="21"/>
      <c r="N11" s="21"/>
      <c r="O11" s="22" t="s">
        <v>96</v>
      </c>
    </row>
    <row r="12" spans="1:15" ht="105" customHeight="1">
      <c r="A12" s="24" t="s">
        <v>97</v>
      </c>
      <c r="B12" s="8" t="s">
        <v>98</v>
      </c>
      <c r="C12" s="8" t="s">
        <v>99</v>
      </c>
      <c r="D12" s="8" t="s">
        <v>100</v>
      </c>
      <c r="E12" s="8" t="s">
        <v>163</v>
      </c>
      <c r="F12" s="8" t="s">
        <v>101</v>
      </c>
      <c r="G12" s="25" t="s">
        <v>54</v>
      </c>
      <c r="H12" s="21"/>
      <c r="I12" s="21"/>
      <c r="J12" s="21" t="s">
        <v>157</v>
      </c>
      <c r="K12" s="21" t="s">
        <v>159</v>
      </c>
      <c r="L12" s="21"/>
      <c r="M12" s="21"/>
      <c r="N12" s="21"/>
      <c r="O12" s="22"/>
    </row>
    <row r="13" spans="1:15" ht="105" customHeight="1">
      <c r="A13" s="24" t="s">
        <v>102</v>
      </c>
      <c r="B13" s="8" t="s">
        <v>103</v>
      </c>
      <c r="C13" s="8" t="s">
        <v>104</v>
      </c>
      <c r="D13" s="8" t="s">
        <v>105</v>
      </c>
      <c r="E13" s="8" t="s">
        <v>106</v>
      </c>
      <c r="F13" s="8" t="s">
        <v>107</v>
      </c>
      <c r="G13" s="25" t="s">
        <v>54</v>
      </c>
      <c r="H13" s="21"/>
      <c r="I13" s="21"/>
      <c r="J13" s="21" t="s">
        <v>161</v>
      </c>
      <c r="K13" s="21" t="s">
        <v>159</v>
      </c>
      <c r="L13" s="21"/>
      <c r="M13" s="21"/>
      <c r="N13" s="21"/>
      <c r="O13" s="22" t="s">
        <v>108</v>
      </c>
    </row>
    <row r="14" spans="1:15" ht="105" customHeight="1">
      <c r="A14" s="24" t="s">
        <v>109</v>
      </c>
      <c r="B14" s="8" t="s">
        <v>110</v>
      </c>
      <c r="C14" s="8" t="s">
        <v>111</v>
      </c>
      <c r="D14" s="8" t="s">
        <v>112</v>
      </c>
      <c r="E14" s="8" t="s">
        <v>113</v>
      </c>
      <c r="F14" s="8" t="s">
        <v>114</v>
      </c>
      <c r="G14" s="25" t="s">
        <v>61</v>
      </c>
      <c r="H14" s="21"/>
      <c r="I14" s="21"/>
      <c r="J14" s="21" t="s">
        <v>157</v>
      </c>
      <c r="K14" s="21" t="s">
        <v>159</v>
      </c>
      <c r="L14" s="21"/>
      <c r="M14" s="21"/>
      <c r="N14" s="21"/>
      <c r="O14" s="22" t="s">
        <v>162</v>
      </c>
    </row>
    <row r="15" spans="1:15" ht="105" customHeight="1">
      <c r="A15" s="24" t="s">
        <v>115</v>
      </c>
      <c r="B15" s="8" t="s">
        <v>116</v>
      </c>
      <c r="C15" s="8" t="s">
        <v>117</v>
      </c>
      <c r="D15" s="8" t="s">
        <v>118</v>
      </c>
      <c r="E15" s="8" t="s">
        <v>119</v>
      </c>
      <c r="F15" s="8" t="s">
        <v>120</v>
      </c>
      <c r="G15" s="25" t="s">
        <v>121</v>
      </c>
      <c r="H15" s="21"/>
      <c r="I15" s="21"/>
      <c r="J15" s="21" t="s">
        <v>157</v>
      </c>
      <c r="K15" s="21" t="s">
        <v>159</v>
      </c>
      <c r="L15" s="21"/>
      <c r="M15" s="21"/>
      <c r="N15" s="21"/>
      <c r="O15" s="22" t="s">
        <v>122</v>
      </c>
    </row>
    <row r="16" spans="1:15" ht="105" customHeight="1">
      <c r="A16" s="24" t="s">
        <v>123</v>
      </c>
      <c r="B16" s="8" t="s">
        <v>124</v>
      </c>
      <c r="C16" s="8" t="s">
        <v>125</v>
      </c>
      <c r="D16" s="8" t="s">
        <v>126</v>
      </c>
      <c r="E16" s="8" t="s">
        <v>127</v>
      </c>
      <c r="F16" s="8" t="s">
        <v>128</v>
      </c>
      <c r="G16" s="25" t="s">
        <v>121</v>
      </c>
      <c r="H16" s="21"/>
      <c r="I16" s="21"/>
      <c r="J16" s="21" t="s">
        <v>161</v>
      </c>
      <c r="K16" s="21" t="s">
        <v>159</v>
      </c>
      <c r="L16" s="21"/>
      <c r="M16" s="21"/>
      <c r="N16" s="21"/>
      <c r="O16" s="22" t="s">
        <v>129</v>
      </c>
    </row>
    <row r="17" spans="1:15" ht="105" customHeight="1">
      <c r="A17" s="24" t="s">
        <v>130</v>
      </c>
      <c r="B17" s="8" t="s">
        <v>131</v>
      </c>
      <c r="C17" s="8" t="s">
        <v>132</v>
      </c>
      <c r="D17" s="8" t="s">
        <v>118</v>
      </c>
      <c r="E17" s="8" t="s">
        <v>133</v>
      </c>
      <c r="F17" s="8" t="s">
        <v>134</v>
      </c>
      <c r="G17" s="25" t="s">
        <v>121</v>
      </c>
      <c r="H17" s="21"/>
      <c r="I17" s="21"/>
      <c r="J17" s="21" t="s">
        <v>161</v>
      </c>
      <c r="K17" s="21" t="s">
        <v>159</v>
      </c>
      <c r="L17" s="21"/>
      <c r="M17" s="21"/>
      <c r="N17" s="21"/>
      <c r="O17" s="22" t="s">
        <v>135</v>
      </c>
    </row>
    <row r="18" spans="1:15" ht="105" customHeight="1">
      <c r="A18" s="24" t="s">
        <v>136</v>
      </c>
      <c r="B18" s="8" t="s">
        <v>137</v>
      </c>
      <c r="C18" s="8" t="s">
        <v>138</v>
      </c>
      <c r="D18" s="8" t="s">
        <v>139</v>
      </c>
      <c r="E18" s="8" t="s">
        <v>140</v>
      </c>
      <c r="F18" s="8" t="s">
        <v>141</v>
      </c>
      <c r="G18" s="25" t="s">
        <v>54</v>
      </c>
      <c r="H18" s="21"/>
      <c r="I18" s="21"/>
      <c r="J18" s="21" t="s">
        <v>157</v>
      </c>
      <c r="K18" s="21" t="s">
        <v>159</v>
      </c>
      <c r="L18" s="21"/>
      <c r="M18" s="21"/>
      <c r="N18" s="21"/>
      <c r="O18" s="22" t="s">
        <v>142</v>
      </c>
    </row>
  </sheetData>
  <mergeCells count="1">
    <mergeCell ref="A2:N2"/>
  </mergeCells>
  <conditionalFormatting sqref="G5:G18">
    <cfRule type="expression" dxfId="23" priority="1">
      <formula>G5="Critical"</formula>
    </cfRule>
    <cfRule type="expression" dxfId="22" priority="2">
      <formula>G5="High"</formula>
    </cfRule>
    <cfRule type="expression" dxfId="21" priority="3">
      <formula>G5="Medium"</formula>
    </cfRule>
    <cfRule type="expression" dxfId="20" priority="4">
      <formula>G5="Low"</formula>
    </cfRule>
  </conditionalFormatting>
  <conditionalFormatting sqref="J5:J18">
    <cfRule type="expression" dxfId="19" priority="5">
      <formula>J5="Accepted"</formula>
    </cfRule>
    <cfRule type="expression" dxfId="18" priority="6">
      <formula>J5="ACCEPTED"</formula>
    </cfRule>
    <cfRule type="expression" dxfId="17" priority="7">
      <formula>J5="Accepted with condition"</formula>
    </cfRule>
    <cfRule type="expression" dxfId="16" priority="8">
      <formula>J5="ACCEPTED WITH CONDITION"</formula>
    </cfRule>
    <cfRule type="expression" dxfId="15" priority="9">
      <formula>J5="Rejected"</formula>
    </cfRule>
    <cfRule type="expression" dxfId="14" priority="10">
      <formula>J5="REJECTED"</formula>
    </cfRule>
  </conditionalFormatting>
  <conditionalFormatting sqref="M5:M18">
    <cfRule type="expression" dxfId="13" priority="11">
      <formula>M5="Accepted"</formula>
    </cfRule>
    <cfRule type="expression" dxfId="12" priority="12">
      <formula>M5="ACCEPTED"</formula>
    </cfRule>
    <cfRule type="expression" dxfId="11" priority="13">
      <formula>M5="Accepted with condition"</formula>
    </cfRule>
    <cfRule type="expression" dxfId="10" priority="14">
      <formula>M5="ACCEPTED WITH CONDITION"</formula>
    </cfRule>
    <cfRule type="expression" dxfId="9" priority="15">
      <formula>M5="Rejected"</formula>
    </cfRule>
    <cfRule type="expression" dxfId="8" priority="16">
      <formula>M5="REJECTED"</formula>
    </cfRule>
  </conditionalFormatting>
  <dataValidations count="2">
    <dataValidation type="list" allowBlank="1" sqref="M5:M18" xr:uid="{00000000-0002-0000-0100-000000000000}">
      <formula1>"ACCEPTED,ACCEPTED WITH CONDITION,REJECTED"</formula1>
      <formula2>0</formula2>
    </dataValidation>
    <dataValidation type="list" allowBlank="1" sqref="J5:J18" xr:uid="{00000000-0002-0000-0100-000001000000}">
      <formula1>"MUST FIX,NEXT,NONE"</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8D"/>
  </sheetPr>
  <dimension ref="A2:I24"/>
  <sheetViews>
    <sheetView showGridLines="0" workbookViewId="0">
      <pane ySplit="4" topLeftCell="A5" activePane="bottomLeft" state="frozen"/>
      <selection pane="bottomLeft" activeCell="C5" sqref="C5"/>
    </sheetView>
  </sheetViews>
  <sheetFormatPr defaultColWidth="8.7109375" defaultRowHeight="12.75"/>
  <cols>
    <col min="1" max="1" width="14" style="2" customWidth="1"/>
    <col min="2" max="2" width="10" style="2" customWidth="1"/>
    <col min="3" max="3" width="65" style="2" customWidth="1"/>
    <col min="4" max="4" width="12" style="2" customWidth="1"/>
    <col min="5" max="5" width="16" style="2" customWidth="1"/>
    <col min="6" max="6" width="18" style="2" customWidth="1"/>
    <col min="7" max="7" width="15" style="2" customWidth="1"/>
    <col min="8" max="8" width="26" style="2" customWidth="1"/>
    <col min="9" max="9" width="14" style="2" customWidth="1"/>
    <col min="10" max="16384" width="8.7109375" style="2"/>
  </cols>
  <sheetData>
    <row r="2" spans="1:9" ht="27.75" customHeight="1">
      <c r="A2" s="31" t="s">
        <v>143</v>
      </c>
      <c r="B2" s="31"/>
      <c r="C2" s="31"/>
      <c r="D2" s="31"/>
      <c r="E2" s="31"/>
      <c r="F2" s="31"/>
      <c r="G2" s="31"/>
      <c r="H2" s="31"/>
      <c r="I2" s="31"/>
    </row>
    <row r="4" spans="1:9" ht="44.1" customHeight="1">
      <c r="A4" s="17" t="s">
        <v>41</v>
      </c>
      <c r="B4" s="17" t="s">
        <v>144</v>
      </c>
      <c r="C4" s="17" t="s">
        <v>145</v>
      </c>
      <c r="D4" s="17" t="s">
        <v>146</v>
      </c>
      <c r="E4" s="17" t="s">
        <v>42</v>
      </c>
      <c r="F4" s="17" t="s">
        <v>147</v>
      </c>
      <c r="G4" s="17" t="s">
        <v>148</v>
      </c>
      <c r="H4" s="17" t="s">
        <v>149</v>
      </c>
      <c r="I4" s="17" t="s">
        <v>150</v>
      </c>
    </row>
    <row r="5" spans="1:9" ht="95.1" customHeight="1">
      <c r="A5" s="23" t="s">
        <v>151</v>
      </c>
      <c r="B5" s="19" t="s">
        <v>83</v>
      </c>
      <c r="C5" s="19" t="s">
        <v>152</v>
      </c>
      <c r="D5" s="19" t="s">
        <v>61</v>
      </c>
      <c r="E5" s="26" t="s">
        <v>153</v>
      </c>
      <c r="F5" s="20"/>
      <c r="G5" s="20"/>
      <c r="H5" s="20"/>
      <c r="I5" s="19" t="s">
        <v>154</v>
      </c>
    </row>
    <row r="6" spans="1:9" ht="95.1" customHeight="1">
      <c r="A6" s="23" t="s">
        <v>155</v>
      </c>
      <c r="B6" s="19" t="s">
        <v>76</v>
      </c>
      <c r="C6" s="19" t="s">
        <v>156</v>
      </c>
      <c r="D6" s="19" t="s">
        <v>121</v>
      </c>
      <c r="E6" s="26" t="s">
        <v>157</v>
      </c>
      <c r="F6" s="20"/>
      <c r="G6" s="20"/>
      <c r="H6" s="20"/>
      <c r="I6" s="19" t="s">
        <v>154</v>
      </c>
    </row>
    <row r="7" spans="1:9" ht="69.75" customHeight="1">
      <c r="A7" s="5"/>
      <c r="B7" s="5"/>
      <c r="C7" s="4"/>
      <c r="D7" s="5"/>
      <c r="E7" s="6"/>
      <c r="F7" s="5"/>
      <c r="G7" s="5"/>
      <c r="H7" s="5"/>
      <c r="I7" s="5"/>
    </row>
    <row r="8" spans="1:9" ht="42" customHeight="1"/>
    <row r="9" spans="1:9" ht="42" customHeight="1"/>
    <row r="10" spans="1:9" ht="42" customHeight="1"/>
    <row r="11" spans="1:9" ht="42" customHeight="1"/>
    <row r="12" spans="1:9" ht="42" customHeight="1"/>
    <row r="13" spans="1:9" ht="42" customHeight="1"/>
    <row r="14" spans="1:9" ht="42" customHeight="1"/>
    <row r="15" spans="1:9" ht="42" customHeight="1"/>
    <row r="16" spans="1:9" ht="42" customHeight="1"/>
    <row r="17" ht="42" customHeight="1"/>
    <row r="18" ht="42" customHeight="1"/>
    <row r="19" ht="42" customHeight="1"/>
    <row r="20" ht="42" customHeight="1"/>
    <row r="21" ht="42" customHeight="1"/>
    <row r="22" ht="42" customHeight="1"/>
    <row r="23" ht="42" customHeight="1"/>
    <row r="24" ht="42" customHeight="1"/>
  </sheetData>
  <mergeCells count="1">
    <mergeCell ref="A2:I2"/>
  </mergeCells>
  <conditionalFormatting sqref="D5:D6">
    <cfRule type="expression" dxfId="7" priority="1">
      <formula>D5="Critical"</formula>
    </cfRule>
    <cfRule type="expression" dxfId="6" priority="2">
      <formula>D5="High"</formula>
    </cfRule>
    <cfRule type="expression" dxfId="5" priority="3">
      <formula>D5="Medium"</formula>
    </cfRule>
    <cfRule type="expression" dxfId="4" priority="4">
      <formula>D5="Low"</formula>
    </cfRule>
  </conditionalFormatting>
  <conditionalFormatting sqref="E5:E6">
    <cfRule type="expression" dxfId="3" priority="5">
      <formula>E5="MUST FIX"</formula>
    </cfRule>
    <cfRule type="expression" dxfId="2" priority="6">
      <formula>E5="NEXT"</formula>
    </cfRule>
  </conditionalFormatting>
  <conditionalFormatting sqref="I5:I6">
    <cfRule type="expression" dxfId="1" priority="7">
      <formula>I5="OPEN"</formula>
    </cfRule>
    <cfRule type="expression" dxfId="0" priority="8">
      <formula>I5="CLOSED"</formula>
    </cfRule>
  </conditionalFormatting>
  <dataValidations count="3">
    <dataValidation type="list" sqref="D5:D24" xr:uid="{00000000-0002-0000-0200-000000000000}">
      <formula1>"Critical,High,Medium,Low"</formula1>
      <formula2>0</formula2>
    </dataValidation>
    <dataValidation type="list" sqref="E5:E24" xr:uid="{00000000-0002-0000-0200-000001000000}">
      <formula1>"MUST FIX,NEXT"</formula1>
      <formula2>0</formula2>
    </dataValidation>
    <dataValidation type="list" sqref="I5:I24" xr:uid="{00000000-0002-0000-0200-000002000000}">
      <formula1>"OPEN,IN PROGRESS,CLOSED,ACCEPTED RISK"</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Tong quan</vt:lpstr>
      <vt:lpstr>UAT Cases</vt:lpstr>
      <vt:lpstr>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2026-10-12T09:30:51Z</dcterms:modified>
</cp:coreProperties>
</file>