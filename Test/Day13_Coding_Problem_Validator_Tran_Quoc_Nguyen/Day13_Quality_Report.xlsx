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ybersoft-learning-hub\Test\Day13_Coding_Problem_Validator_Tran_Quoc_Nguyen\"/>
    </mc:Choice>
  </mc:AlternateContent>
  <xr:revisionPtr revIDLastSave="0" documentId="13_ncr:1_{91C1298A-8794-4454-BABA-9E6FAAEFD6A2}" xr6:coauthVersionLast="47" xr6:coauthVersionMax="47" xr10:uidLastSave="{00000000-0000-0000-0000-000000000000}"/>
  <bookViews>
    <workbookView xWindow="28680" yWindow="-120" windowWidth="29040" windowHeight="15720" firstSheet="1" activeTab="7" xr2:uid="{00000000-000D-0000-FFFF-FFFF00000000}"/>
  </bookViews>
  <sheets>
    <sheet name="00_BAT_DAU" sheetId="1" r:id="rId1"/>
    <sheet name="01_Problem_Checklist" sheetId="2" r:id="rId2"/>
    <sheet name="02_Reference_Run" sheetId="3" r:id="rId3"/>
    <sheet name="03_Mutation_Set" sheetId="4" r:id="rId4"/>
    <sheet name="04_Mutation_Execution" sheetId="5" r:id="rId5"/>
    <sheet name="05_Coverage_Report" sheetId="6" r:id="rId6"/>
    <sheet name="06_Findings" sheetId="7" r:id="rId7"/>
    <sheet name="01_Rule_Catalo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6" l="1"/>
  <c r="L10" i="6"/>
  <c r="K10" i="6"/>
  <c r="G10" i="6"/>
  <c r="F10" i="6"/>
  <c r="E10" i="6"/>
  <c r="D10" i="6"/>
  <c r="H10" i="6" s="1"/>
  <c r="I10" i="6" s="1"/>
  <c r="C10" i="6"/>
  <c r="M9" i="6"/>
  <c r="L9" i="6"/>
  <c r="K9" i="6"/>
  <c r="G9" i="6"/>
  <c r="F9" i="6"/>
  <c r="E9" i="6"/>
  <c r="D9" i="6"/>
  <c r="H9" i="6" s="1"/>
  <c r="I9" i="6" s="1"/>
  <c r="C9" i="6"/>
  <c r="M8" i="6"/>
  <c r="L8" i="6"/>
  <c r="K8" i="6"/>
  <c r="G8" i="6"/>
  <c r="F8" i="6"/>
  <c r="E8" i="6"/>
  <c r="D8" i="6"/>
  <c r="H8" i="6" s="1"/>
  <c r="I8" i="6" s="1"/>
  <c r="C8" i="6"/>
  <c r="M7" i="6"/>
  <c r="L7" i="6"/>
  <c r="K7" i="6"/>
  <c r="H7" i="6"/>
  <c r="I7" i="6" s="1"/>
  <c r="G7" i="6"/>
  <c r="F7" i="6"/>
  <c r="E7" i="6"/>
  <c r="D7" i="6"/>
  <c r="C7" i="6"/>
  <c r="D35" i="4"/>
  <c r="D34" i="4"/>
  <c r="D33" i="4"/>
  <c r="D38" i="3"/>
  <c r="D36" i="3"/>
  <c r="D37" i="3" s="1"/>
  <c r="D26" i="1" s="1"/>
  <c r="D35" i="3"/>
  <c r="F43" i="2"/>
  <c r="F42" i="2"/>
  <c r="F41" i="2"/>
  <c r="F40" i="2"/>
  <c r="F39" i="2"/>
  <c r="F38" i="2"/>
  <c r="F37" i="2"/>
  <c r="F36" i="2"/>
  <c r="F35" i="2"/>
  <c r="B32" i="1"/>
  <c r="C30" i="1"/>
  <c r="C29" i="1"/>
  <c r="C28" i="1"/>
  <c r="C27" i="1"/>
  <c r="B29" i="1" l="1"/>
  <c r="J9" i="6"/>
  <c r="D29" i="1"/>
  <c r="J8" i="6"/>
  <c r="B28" i="1"/>
  <c r="D28" i="1"/>
  <c r="J7" i="6"/>
  <c r="B27" i="1"/>
  <c r="D27" i="1"/>
  <c r="D30" i="1"/>
  <c r="J10" i="6"/>
  <c r="B30" i="1"/>
  <c r="D39" i="3"/>
  <c r="B26" i="1"/>
</calcChain>
</file>

<file path=xl/sharedStrings.xml><?xml version="1.0" encoding="utf-8"?>
<sst xmlns="http://schemas.openxmlformats.org/spreadsheetml/2006/main" count="1512" uniqueCount="481">
  <si>
    <t>NGÀY 13 — Validator bài coding và test case</t>
  </si>
  <si>
    <t>coding_problem_validator — kiểm statement/constraints/test, reference solution, mutation testing, timeout, output format, không lộ hidden test</t>
  </si>
  <si>
    <t>A. TỔNG QUAN NGÀY 13</t>
  </si>
  <si>
    <t>Hạng mục</t>
  </si>
  <si>
    <t>Nội dung</t>
  </si>
  <si>
    <t>Người thực hiện</t>
  </si>
  <si>
    <t>Tran_Quoc_Nguyen</t>
  </si>
  <si>
    <t>Ngày</t>
  </si>
  <si>
    <t>19/09/2026</t>
  </si>
  <si>
    <t>Kế hoạch tham chiếu</t>
  </si>
  <si>
    <t>03_Ke_hoach_30_ngay_Thuc_tap_sinh_QA_AI_Evaluation.docx — Tuần 3, Ngày 13</t>
  </si>
  <si>
    <t>Vị trí repo</t>
  </si>
  <si>
    <t>cybersoft-learning-hub/Test/Day13_Coding_Problem_Validator_Tran_Quoc_Nguyen/</t>
  </si>
  <si>
    <t>Dữ liệu thật đã kiểm</t>
  </si>
  <si>
    <t>30 bài Code Playground trong BE: initial-exercises.ts (10) + initial-exercises-day14.ts (20). Ngôn ngữ Python 3.</t>
  </si>
  <si>
    <t>Bài làm mutation</t>
  </si>
  <si>
    <t>Kiểm tra số nguyên tố (bài chính, 16 mutant) và Sắp xếp tăng dần (đối chiếu, 12 mutant)</t>
  </si>
  <si>
    <t>Deliverable</t>
  </si>
  <si>
    <t>tools/coding-problem-validator/ (CLI + 19 rule + judge mini + mutation + leak-guard), Mutation set, Coverage report, file Excel này</t>
  </si>
  <si>
    <t>B. QUY TRÌNH (thứ tự thực tế)</t>
  </si>
  <si>
    <t>Bước 1</t>
  </si>
  <si>
    <t>Chọn bài coding thật -&gt; đọc statement + constraints</t>
  </si>
  <si>
    <t>Bước 2</t>
  </si>
  <si>
    <t>Chạy reference solution -&gt; phải AC (nếu không: STOP)</t>
  </si>
  <si>
    <t>Bước 3</t>
  </si>
  <si>
    <t>Chạy validator 19 rule</t>
  </si>
  <si>
    <t>Bước 4</t>
  </si>
  <si>
    <t>Tạo mutant (10-15 mutant / bài)</t>
  </si>
  <si>
    <t>Bước 5</t>
  </si>
  <si>
    <t>Chạy từng mutant qua sample + hidden -&gt; KILLED / SURVIVED</t>
  </si>
  <si>
    <t>Bước 6</t>
  </si>
  <si>
    <t>Tính Mutation Score, so với ngưỡng 80%</t>
  </si>
  <si>
    <t>Bước 7</t>
  </si>
  <si>
    <t>Kiểm timeout và output format</t>
  </si>
  <si>
    <t>Bước 8</t>
  </si>
  <si>
    <t>Chốt coverage report + findings + AI worklog; bảo đảm không lộ hidden test</t>
  </si>
  <si>
    <t>C. NGHIỆM THU NGÀY 13 (các ô kết quả là công thức lấy từ các sheet khác)</t>
  </si>
  <si>
    <t>Điều kiện</t>
  </si>
  <si>
    <t>Kết quả đo được</t>
  </si>
  <si>
    <t>Ngưỡng</t>
  </si>
  <si>
    <t>Trạng thái</t>
  </si>
  <si>
    <t>Nguồn</t>
  </si>
  <si>
    <t>Ghi chú</t>
  </si>
  <si>
    <t>Reference solution luôn AC</t>
  </si>
  <si>
    <t>100%</t>
  </si>
  <si>
    <t>Sheet 02</t>
  </si>
  <si>
    <t>30 bài thật</t>
  </si>
  <si>
    <t>Mutation score - Số nguyên tố, test GỐC</t>
  </si>
  <si>
    <t>Sheet 05</t>
  </si>
  <si>
    <t>Bộ test đang có trong BE</t>
  </si>
  <si>
    <t>Mutation score - Số nguyên tố, test HARDENED</t>
  </si>
  <si>
    <t>+6 hidden test đề xuất, chưa áp vào BE</t>
  </si>
  <si>
    <t>Mutation score - Sắp xếp, test GỐC</t>
  </si>
  <si>
    <t>Mutation score - Sắp xếp, test HARDENED</t>
  </si>
  <si>
    <t>Không lộ hidden test trong report</t>
  </si>
  <si>
    <t>Grep độc lập: 0 kết quả; 45 test pass</t>
  </si>
  <si>
    <t>Không lộ</t>
  </si>
  <si>
    <t>ĐẠT (trong tool)</t>
  </si>
  <si>
    <t>AI_WORKLOG.md</t>
  </si>
  <si>
    <t>BE có rủi ro qua stderr/hints - xem F-D13-04, F-D13-08 (cần tái hiện)</t>
  </si>
  <si>
    <t>Timeout được bắt</t>
  </si>
  <si>
    <t>&gt;= 1 / bài</t>
  </si>
  <si>
    <t>ĐẠT</t>
  </si>
  <si>
    <t>Sheet 04</t>
  </si>
  <si>
    <t>Chỉ khi có test đủ lớn</t>
  </si>
  <si>
    <t>D. GHI CHÚ QUAN TRỌNG</t>
  </si>
  <si>
    <t>•</t>
  </si>
  <si>
    <t>Bộ test GỐC của bài số nguyên tố KHÔNG đạt 80% - đó là phát hiện (F-D13-01), không phải lỗi tool. Không đổi mutant để "cho đạt".</t>
  </si>
  <si>
    <t>Bộ hardened chưa được mentor duyệt và chưa áp vào seed data của BE.</t>
  </si>
  <si>
    <t>F-D13-04 và F-D13-08 mới ở mức đọc code + mô phỏng/đếm; cần tái hiện trên UI/API thật trước khi báo là lỗi.</t>
  </si>
  <si>
    <t>Cột nền vàng trong các sheet là ô để người thực tập tự điền; ô nhập hằng số (ngưỡng 80%) chữ xanh, nền vàng ở sheet 05.</t>
  </si>
  <si>
    <t>01_Problem_Checklist - Kiểm statement / constraints / sample / hidden / timeout / output của 30 bài thật</t>
  </si>
  <si>
    <t>Nguồn: reports/validate-baseline/validator-report.json (19 rule CP001-CP019). OK = không có finding; WARN/ERROR theo mức của rule. Cột vàng: người thực tập tự xác nhận.</t>
  </si>
  <si>
    <t>STT</t>
  </si>
  <si>
    <t>Problem ID</t>
  </si>
  <si>
    <t>Độ khó</t>
  </si>
  <si>
    <t>Số test</t>
  </si>
  <si>
    <t>Số hidden</t>
  </si>
  <si>
    <t>Statement (CP001)</t>
  </si>
  <si>
    <t>Constraints (CP002)</t>
  </si>
  <si>
    <t>Sample (CP003/004)</t>
  </si>
  <si>
    <t>Reference (CP005/006/015)</t>
  </si>
  <si>
    <t>Timeout (CP007)</t>
  </si>
  <si>
    <t>Output format (CP008/018/019)</t>
  </si>
  <si>
    <t>Hidden (CP009/012/013/016)</t>
  </si>
  <si>
    <t>Nhất quán test-đề (CP010/011)</t>
  </si>
  <si>
    <t>Mã finding</t>
  </si>
  <si>
    <t>Người xác nhận (điền)</t>
  </si>
  <si>
    <t>Ghi chú (điền)</t>
  </si>
  <si>
    <t>tinh-tong-hai-so-nguyen</t>
  </si>
  <si>
    <t>EASY</t>
  </si>
  <si>
    <t>OK</t>
  </si>
  <si>
    <t>WARN</t>
  </si>
  <si>
    <t>CP002</t>
  </si>
  <si>
    <t>kiem-tra-so-chan-le</t>
  </si>
  <si>
    <t>tim-so-lon-nhat</t>
  </si>
  <si>
    <t>MEDIUM</t>
  </si>
  <si>
    <t>CP002, CP013</t>
  </si>
  <si>
    <t>dao-nguoc-chuoi</t>
  </si>
  <si>
    <t>kiem-tra-so-nguyen-to</t>
  </si>
  <si>
    <t>fibonacci</t>
  </si>
  <si>
    <t>uoc-chung-lon-nhat</t>
  </si>
  <si>
    <t>kiem-tra-palindrome</t>
  </si>
  <si>
    <t>sap-xep-tang-dan</t>
  </si>
  <si>
    <t>tong-duong-cheo-ma-tran</t>
  </si>
  <si>
    <t>HARD</t>
  </si>
  <si>
    <t>day14-chao-hoi-theo-ten</t>
  </si>
  <si>
    <t>day14-tinh-tien-co-thue</t>
  </si>
  <si>
    <t>day14-doi-phut-thanh-gio-phut</t>
  </si>
  <si>
    <t>day14-dinh-dang-hoa-don</t>
  </si>
  <si>
    <t>day14-tong-trung-binh-danh-sach</t>
  </si>
  <si>
    <t>-</t>
  </si>
  <si>
    <t>day14-dem-so-lan-xuat-hien</t>
  </si>
  <si>
    <t>day14-loai-bo-trung-lap</t>
  </si>
  <si>
    <t>day14-tron-hai-danh-sach-sap-xep</t>
  </si>
  <si>
    <t>day14-bang-cuu-chuong</t>
  </si>
  <si>
    <t>CP013</t>
  </si>
  <si>
    <t>day14-dem-so-chu-so</t>
  </si>
  <si>
    <t>day14-so-hoan-thien</t>
  </si>
  <si>
    <t>day14-ma-tran-doi-xung</t>
  </si>
  <si>
    <t>day14-ham-kiem-tra-nguyen-to</t>
  </si>
  <si>
    <t>day14-ham-tinh-giai-thua</t>
  </si>
  <si>
    <t>day14-ham-quy-doi-diem-chu</t>
  </si>
  <si>
    <t>day14-ham-de-quy-dem-xuat-hien</t>
  </si>
  <si>
    <t>day14-oan-tu-ti</t>
  </si>
  <si>
    <t>day14-mo-phong-thang-may</t>
  </si>
  <si>
    <t>day14-mo-phong-tui-do</t>
  </si>
  <si>
    <t>day14-mo-phong-tran-dau</t>
  </si>
  <si>
    <t>Tổng số bài</t>
  </si>
  <si>
    <t>Số bài WARN/ERROR - Statement</t>
  </si>
  <si>
    <t>Số bài WARN/ERROR - Constraints</t>
  </si>
  <si>
    <t>Số bài WARN/ERROR - Sample</t>
  </si>
  <si>
    <t>Số bài WARN/ERROR - Reference</t>
  </si>
  <si>
    <t>Số bài WARN/ERROR - Timeout</t>
  </si>
  <si>
    <t>Số bài WARN/ERROR - Output format</t>
  </si>
  <si>
    <t>Số bài WARN/ERROR - Hidden</t>
  </si>
  <si>
    <t>Số bài WARN/ERROR - Nhất quán</t>
  </si>
  <si>
    <t>Số liệu rà tay: lần chạy đầu có 14 ERROR nhưng cả 14 đều là báo oan (xem sheet 06 và AI_WORKLOG.md); sau khi sửa rule còn 0 ERROR, 27 WARNING (24 x CP002 + 3 x CP013).</t>
  </si>
  <si>
    <t>02_Reference_Run - Chạy reference solution (solutionCode) trên toàn bộ test của 30 bài thật</t>
  </si>
  <si>
    <t>Nguồn: reports/validate-baseline/validator-report.json (referenceRuns). Chỉ số lượng test pass; không có dữ liệu hidden test.</t>
  </si>
  <si>
    <t>File nguồn</t>
  </si>
  <si>
    <t>Kết quả (judge mini)</t>
  </si>
  <si>
    <t>Test pass</t>
  </si>
  <si>
    <t>Tổng test</t>
  </si>
  <si>
    <t>Hidden pass</t>
  </si>
  <si>
    <t>Hidden tổng</t>
  </si>
  <si>
    <t>Thời gian chạy lâu nhất (ms)</t>
  </si>
  <si>
    <t>base-exercises.json</t>
  </si>
  <si>
    <t>AC</t>
  </si>
  <si>
    <t>day14-exercises.json</t>
  </si>
  <si>
    <t>Tổng số bài đã chạy</t>
  </si>
  <si>
    <t>Số bài đạt AC</t>
  </si>
  <si>
    <t>Tỉ lệ AC</t>
  </si>
  <si>
    <t>Kết luận baseline</t>
  </si>
  <si>
    <t>03_Mutation_Set - 28 mutant (16 cho bài số nguyên tố, 12 cho bài sắp xếp tăng dần)</t>
  </si>
  <si>
    <t>Mutant = reference bị sửa cố ý thành sai. "Kỳ vọng" = kết quả mà một bộ test ĐỦ MẠNH phải cho. Mã mỗi mutant: tools/coding-problem-validator/solutions/mutants/&lt;bài&gt;/&lt;ID&gt;.py</t>
  </si>
  <si>
    <t>ID</t>
  </si>
  <si>
    <t>Bài</t>
  </si>
  <si>
    <t>Loại lỗi</t>
  </si>
  <si>
    <t>Mô tả lỗi</t>
  </si>
  <si>
    <t>Kỳ vọng</t>
  </si>
  <si>
    <t>Cách tạo</t>
  </si>
  <si>
    <t>Lý do EQUIVALENT (nếu có)</t>
  </si>
  <si>
    <t>MUT-01</t>
  </si>
  <si>
    <t>Boundary error</t>
  </si>
  <si>
    <t>Đổi biên `x &lt; 2` thành `x &lt; 1` (số 1 bị coi là nguyên tố)</t>
  </si>
  <si>
    <t>KILLED</t>
  </si>
  <si>
    <t>`if x &lt; 2:` -&gt; `if x &lt; 1:`</t>
  </si>
  <si>
    <t>MUT-02</t>
  </si>
  <si>
    <t>Off-by-one</t>
  </si>
  <si>
    <t>Cận vòng lặp `int(x ** 0.5) + 1` bỏ mất `+ 1` (không thử ước bằng đúng căn n)</t>
  </si>
  <si>
    <t>`int(x ** 0.5) + 1` -&gt; `int(x ** 0.5)`</t>
  </si>
  <si>
    <t>MUT-03</t>
  </si>
  <si>
    <t>Missing edge case</t>
  </si>
  <si>
    <t>Bỏ hẳn nhánh `if x &lt; 2: return False` (không xử lý n &lt; 2)</t>
  </si>
  <si>
    <t>`if x &lt; 2: ⏎         return False` -&gt; ``</t>
  </si>
  <si>
    <t>MUT-04</t>
  </si>
  <si>
    <t>Wrong condition</t>
  </si>
  <si>
    <t>Điều kiện chia hết `x % i == 0` thành `x % i == 1`</t>
  </si>
  <si>
    <t>`if x % i == 0:` -&gt; `if x % i == 1:`</t>
  </si>
  <si>
    <t>MUT-05</t>
  </si>
  <si>
    <t>Wrong operator</t>
  </si>
  <si>
    <t>Toán tử `%` thành `//` trong phép kiểm tra chia hết</t>
  </si>
  <si>
    <t>`if x % i == 0:` -&gt; `if x // i == 0:`</t>
  </si>
  <si>
    <t>MUT-06</t>
  </si>
  <si>
    <t>Hard-code sample</t>
  </si>
  <si>
    <t>Chỉ đúng với input của sample (7 -&gt; YES, còn lại NO)</t>
  </si>
  <si>
    <t>Thay toàn bộ mã</t>
  </si>
  <si>
    <t>MUT-07</t>
  </si>
  <si>
    <t>Input parsing</t>
  </si>
  <si>
    <t>Chỉ đọc chữ số đầu tiên của input (`int(input().strip()[0])`)</t>
  </si>
  <si>
    <t>`n = int(input())` -&gt; `n = int(input().strip()[0])`</t>
  </si>
  <si>
    <t>MUT-08</t>
  </si>
  <si>
    <t>Wrong rounding</t>
  </si>
  <si>
    <t>Cận vòng lặp dùng làm tròn `int(x ** 0.5 + 0.5)` thay vì `int(x ** 0.5) + 1`</t>
  </si>
  <si>
    <t>`int(x ** 0.5) + 1` -&gt; `int(x ** 0.5 + 0.5)`</t>
  </si>
  <si>
    <t>MUT-09</t>
  </si>
  <si>
    <t>Wrong output format</t>
  </si>
  <si>
    <t>In `Yes`/`No` thay vì `YES`/`NO` (sai chữ hoa/thường)</t>
  </si>
  <si>
    <t>`print("YES" if is_prime(n) else "NO")` -&gt; `print("Yes" if is_prime(n) else "No")`</t>
  </si>
  <si>
    <t>MUT-10</t>
  </si>
  <si>
    <t>Slow algorithm</t>
  </si>
  <si>
    <t>Vòng lặp thử chia tới `x - 1` (O(n)) thay vì tới căn n (O(sqrt n))</t>
  </si>
  <si>
    <t>TIMEOUT</t>
  </si>
  <si>
    <t>`range(2, int(x ** 0.5) + 1)` -&gt; `range(2, x)`</t>
  </si>
  <si>
    <t>MUT-11</t>
  </si>
  <si>
    <t>In thêm dòng debug `input = &lt;n&gt;` trước kết quả</t>
  </si>
  <si>
    <t>`print("YES"` -&gt; `print("input =", n) ⏎ print("YES"`</t>
  </si>
  <si>
    <t>MUT-12</t>
  </si>
  <si>
    <t>In thêm nhãn: `Result: YES`</t>
  </si>
  <si>
    <t>`print("YES" if is_prime(n) else "NO")` -&gt; `print("Result:", "YES" if is_prime(n) else "NO")`</t>
  </si>
  <si>
    <t>MUT-13</t>
  </si>
  <si>
    <t>Thừa khoảng trắng và dòng trống Ở CUỐI output</t>
  </si>
  <si>
    <t>EQUIVALENT</t>
  </si>
  <si>
    <t>`print("YES" if is_prime(n) else "NO")` -&gt; `print("YES" if is_prime(n) else "NO", end="  \n\n")`</t>
  </si>
  <si>
    <t>Judge trim stdout trước khi so sánh (judge-queue.service.ts dòng 123: .replace(/\r\n/g,'\n').trim()) - khoảng trắng/xuống dòng thừa Ở CUỐI được bỏ qua theo thiết kế.</t>
  </si>
  <si>
    <t>MUT-14</t>
  </si>
  <si>
    <t>Vòng lặp bắt đầu từ 3 thay vì 2 (bỏ qua phép thử chia cho 2)</t>
  </si>
  <si>
    <t>`range(2, int(x ** 0.5) + 1)` -&gt; `range(3, int(x ** 0.5) + 1)`</t>
  </si>
  <si>
    <t>MUT-15</t>
  </si>
  <si>
    <t>Over-simplified heuristic</t>
  </si>
  <si>
    <t>Coi mọi số lẻ &gt; 1 là nguyên tố</t>
  </si>
  <si>
    <t>MUT-16</t>
  </si>
  <si>
    <t>Đổi `x &lt; 2` thành `x &lt;= 2` (n = 2 bị coi là không nguyên tố)</t>
  </si>
  <si>
    <t>`if x &lt; 2:` -&gt; `if x &lt;= 2:`</t>
  </si>
  <si>
    <t>SRT-01</t>
  </si>
  <si>
    <t>Sắp xếp giảm dần (`reverse=True`)</t>
  </si>
  <si>
    <t>`nums.sort()` -&gt; `nums.sort(reverse=True)`</t>
  </si>
  <si>
    <t>SRT-02</t>
  </si>
  <si>
    <t>Missing logic</t>
  </si>
  <si>
    <t>Bỏ lệnh sắp xếp, in nguyên danh sách</t>
  </si>
  <si>
    <t>`nums.sort()` -&gt; ``</t>
  </si>
  <si>
    <t>SRT-03</t>
  </si>
  <si>
    <t>Duplicate handling error</t>
  </si>
  <si>
    <t>Dùng `sorted(set(nums))` - làm mất phần tử trùng</t>
  </si>
  <si>
    <t>`nums.sort()` -&gt; `nums = sorted(set(nums))`</t>
  </si>
  <si>
    <t>SRT-04</t>
  </si>
  <si>
    <t>Bỏ mất phần tử cuối khi in (`nums[:-1]`)</t>
  </si>
  <si>
    <t>`print(' '.join(map(str, nums)))` -&gt; `print(' '.join(map(str, nums[:-1])))`</t>
  </si>
  <si>
    <t>SRT-05</t>
  </si>
  <si>
    <t>Wrong comparison</t>
  </si>
  <si>
    <t>Sắp theo thứ tự chuỗi (`key=str`) thay vì theo giá trị số</t>
  </si>
  <si>
    <t>`nums.sort()` -&gt; `nums.sort(key=str)`</t>
  </si>
  <si>
    <t>SRT-06</t>
  </si>
  <si>
    <t>Sắp theo giá trị tuyệt đối (`key=abs`)</t>
  </si>
  <si>
    <t>`nums.sort()` -&gt; `nums.sort(key=abs)`</t>
  </si>
  <si>
    <t>SRT-07</t>
  </si>
  <si>
    <t>Chỉ in đúng kết quả cho 2 sample (n=5 và n=3), còn lại in nguyên input</t>
  </si>
  <si>
    <t>SRT-08</t>
  </si>
  <si>
    <t>Nối bằng dấu phẩy thay vì dấu cách</t>
  </si>
  <si>
    <t>`' '.join` -&gt; `','.join`</t>
  </si>
  <si>
    <t>SRT-09</t>
  </si>
  <si>
    <t>Mỗi số một dòng (`sep='\n'`)</t>
  </si>
  <si>
    <t>`print(' '.join(map(str, nums)))` -&gt; `print(*nums, sep='\n')`</t>
  </si>
  <si>
    <t>SRT-10</t>
  </si>
  <si>
    <t>Bubble sort O(n^2) thay vì sort() O(n log n)</t>
  </si>
  <si>
    <t>SRT-11</t>
  </si>
  <si>
    <t>Chỉ sắp xếp nửa đầu của danh sách</t>
  </si>
  <si>
    <t>`nums.sort()` -&gt; `nums[:n // 2] = sorted(nums[:n // 2])`</t>
  </si>
  <si>
    <t>SRT-12</t>
  </si>
  <si>
    <t>`print(' '.join(map(str, nums)))` -&gt; `print(' '.join(map(str, nums)), end='  \n\n')`</t>
  </si>
  <si>
    <t>Judge trim stdout trước khi so sánh (judge-queue.service.ts dòng 123) - khoảng trắng/xuống dòng thừa Ở CUỐI được bỏ qua theo thiết kế.</t>
  </si>
  <si>
    <t>Tổng số mutant</t>
  </si>
  <si>
    <t>Kỳ vọng TIMEOUT</t>
  </si>
  <si>
    <t>Kỳ vọng EQUIVALENT</t>
  </si>
  <si>
    <t>04_Mutation_Execution - Kết quả chạy từng mutant qua sample + hidden test</t>
  </si>
  <si>
    <t>Nguồn: reports/mutation-*/mutation-report.json. Hidden chỉ ghi số lượng và số thứ tự (Hidden test #k) - không có input/expected.</t>
  </si>
  <si>
    <t>Bộ test</t>
  </si>
  <si>
    <t>Mutant</t>
  </si>
  <si>
    <t>Loại</t>
  </si>
  <si>
    <t>Sample</t>
  </si>
  <si>
    <t>Hidden test FAIL</t>
  </si>
  <si>
    <t>Kết quả</t>
  </si>
  <si>
    <t>Bị bắt bởi</t>
  </si>
  <si>
    <t>Đúng kỳ vọng "bộ test mạnh"?</t>
  </si>
  <si>
    <t>Kiểm tra của người thực tập</t>
  </si>
  <si>
    <t>baseline</t>
  </si>
  <si>
    <t>PASS</t>
  </si>
  <si>
    <t>1/2</t>
  </si>
  <si>
    <t>#01</t>
  </si>
  <si>
    <t>HIDDEN</t>
  </si>
  <si>
    <t>có</t>
  </si>
  <si>
    <t>2/2</t>
  </si>
  <si>
    <t>SURVIVED</t>
  </si>
  <si>
    <t>KHÔNG (lỗ hổng độ phủ)</t>
  </si>
  <si>
    <t>FAIL</t>
  </si>
  <si>
    <t>#02</t>
  </si>
  <si>
    <t>SAMPLE</t>
  </si>
  <si>
    <t>0/2</t>
  </si>
  <si>
    <t>#01 #02</t>
  </si>
  <si>
    <t>hardened</t>
  </si>
  <si>
    <t>7/8</t>
  </si>
  <si>
    <t>4/8</t>
  </si>
  <si>
    <t>#04 #05 #06 #07</t>
  </si>
  <si>
    <t>5/8</t>
  </si>
  <si>
    <t>#02 #04 #08</t>
  </si>
  <si>
    <t>#02 #03 #08</t>
  </si>
  <si>
    <t>6/8</t>
  </si>
  <si>
    <t>#02 #08</t>
  </si>
  <si>
    <t>#04 #05 #07</t>
  </si>
  <si>
    <t>0/8</t>
  </si>
  <si>
    <t>#01 #02 #03 #04 #05 #06 #07 #08</t>
  </si>
  <si>
    <t>#08</t>
  </si>
  <si>
    <t>8/8</t>
  </si>
  <si>
    <t>#04</t>
  </si>
  <si>
    <t>#03 #05 #06 #07</t>
  </si>
  <si>
    <t>#03</t>
  </si>
  <si>
    <t>2/8</t>
  </si>
  <si>
    <t>#02 #03 #05 #06 #07 #08</t>
  </si>
  <si>
    <t>3/8</t>
  </si>
  <si>
    <t>#02 #03 #05 #07 #08</t>
  </si>
  <si>
    <t>#02 #03 #04 #08</t>
  </si>
  <si>
    <t>#06 #08</t>
  </si>
  <si>
    <t>#02 #06 #07</t>
  </si>
  <si>
    <t>1/8</t>
  </si>
  <si>
    <t>#02 #03 #04 #05 #06 #07 #08</t>
  </si>
  <si>
    <t>Cột K (nền vàng) dành cho người thực tập tự điền sau khi mở solutions/mutants/&lt;bài&gt;/&lt;mutant&gt;.py và tự nhẩm lại. Ví dụ: "Đã đọc MUT-02.py, input 4 cho YES sai - đồng ý SURVIVED".</t>
  </si>
  <si>
    <t>05_Coverage_Report - Mutation Score = KILLED / VALID (VALID = KILLED + SURVIVED)</t>
  </si>
  <si>
    <t>Mọi con số dưới đây là công thức COUNTIFS trên sheet 04_Mutation_Execution - sửa dữ liệu ở sheet 04 thì bảng này tự tính lại.</t>
  </si>
  <si>
    <t>Ngưỡng nghiệm thu (Ngày 13)</t>
  </si>
  <si>
    <t>&lt;- ô nhập (số do kế hoạch Ngày 13 quy định: ≥ 80% mutant chủ đích bị bắt)</t>
  </si>
  <si>
    <t>Tổng mutant</t>
  </si>
  <si>
    <t>INVALID</t>
  </si>
  <si>
    <t>VALID (K+S)</t>
  </si>
  <si>
    <t>Mutation Score</t>
  </si>
  <si>
    <t>Bị bắt bởi SAMPLE</t>
  </si>
  <si>
    <t>Bị bắt bởi HIDDEN</t>
  </si>
  <si>
    <t>Bị bắt bởi TIMEOUT</t>
  </si>
  <si>
    <t>Đọc kết quả</t>
  </si>
  <si>
    <t>Bài số nguyên tố: bộ test GỐC FAIL (dưới 80%), bộ test đã bổ sung PASS. Bài sắp xếp: cả hai PASS, nhưng test gốc vẫn có 1 mutant sống sót (thuật toán chậm).</t>
  </si>
  <si>
    <t>Mutant SỐNG SÓT trên bộ test GỐC = lỗ hổng độ phủ (mô tả theo nhóm, không nêu giá trị test)</t>
  </si>
  <si>
    <t>Lỗ hổng độ phủ (bộ test thiếu gì)</t>
  </si>
  <si>
    <t>Bị bắt ở bộ hardened?</t>
  </si>
  <si>
    <t>Không có test nào là bình phương của một số nguyên tố nên cận vòng lặp thiếu 1 đơn vị vẫn AC.</t>
  </si>
  <si>
    <t>KILLED (HIDDEN)</t>
  </si>
  <si>
    <t>Cùng nhóm lỗ hổng với MUT-02: thiếu test là bình phương của số nguyên tố.</t>
  </si>
  <si>
    <t>Không có test n rất lớn nên thuật toán O(n) chậm vẫn AC; đề cũng chưa có constraints để thêm test hiệu năng một cách công bằng.</t>
  </si>
  <si>
    <t>KILLED (TIMEOUT)</t>
  </si>
  <si>
    <t>Không có test nào là số lẻ hợp số nên heuristic 'lẻ = nguyên tố' vẫn AC.</t>
  </si>
  <si>
    <t>Không có test cho số nguyên tố chẵn duy nhất.</t>
  </si>
  <si>
    <t>Không có test N rất lớn nên thuật toán O(n^2) vẫn AC; đề chưa có constraints cho N.</t>
  </si>
  <si>
    <t>06_Findings - Phát hiện thật của Ngày 13</t>
  </si>
  <si>
    <t>Mức chắc chắn cho biết đã CHẠY hay mới ĐỌC CODE. Cột vàng để người thực tập xác nhận/tái hiện.</t>
  </si>
  <si>
    <t>Mức</t>
  </si>
  <si>
    <t>Phát hiện</t>
  </si>
  <si>
    <t>Bằng chứng</t>
  </si>
  <si>
    <t>Mức chắc chắn</t>
  </si>
  <si>
    <t>Đề xuất</t>
  </si>
  <si>
    <t>Kết quả tái hiện (điền)</t>
  </si>
  <si>
    <t>F-D13-01</t>
  </si>
  <si>
    <t>Major</t>
  </si>
  <si>
    <t>Bộ test gốc bài "Kiểm tra số nguyên tố" chỉ bắt 66.7% mutant (10/15) - dưới ngưỡng 80%. 5 mutant sống sót thuộc 4 nhóm lỗ hổng: không có test là bình phương số nguyên tố; không có số lẻ hợp số; không có số nguyên tố chẵn duy nhất; không có n rất lớn.</t>
  </si>
  <si>
    <t>reports/mutation-prime-baseline/coverage-report.md; kiểm chéo bằng verify-independent.py khớp 100%</t>
  </si>
  <si>
    <t>Đã chạy + kiểm chéo độc lập</t>
  </si>
  <si>
    <t>Duyệt bộ test bổ sung problems-hardened/overrides.json (6 hidden test) -&gt; 100%</t>
  </si>
  <si>
    <t>Đề xuất, chưa áp vào BE</t>
  </si>
  <si>
    <t>F-D13-02</t>
  </si>
  <si>
    <t>Medium</t>
  </si>
  <si>
    <t>24/30 bài không nêu ràng buộc số học (CP002); schema Exercise chưa có trường constraints. Không có ràng buộc thì test hiệu năng (MUT-10, SRT-10) không công bằng.</t>
  </si>
  <si>
    <t>reports/validate-baseline (24 x CP002)</t>
  </si>
  <si>
    <t>Đã chạy (rule)</t>
  </si>
  <si>
    <t>Thêm constraints vào đề và schema</t>
  </si>
  <si>
    <t>Mở</t>
  </si>
  <si>
    <t>F-D13-03</t>
  </si>
  <si>
    <t>Minor</t>
  </si>
  <si>
    <t>3 bài quá ít test (CP013): tim-so-lon-nhat (3 test, 1 hidden), dao-nguoc-chuoi (3, 1), day14-bang-cuu-chuong (2, 1).</t>
  </si>
  <si>
    <t>reports/validate-baseline (3 x CP013)</t>
  </si>
  <si>
    <t>Bổ sung test biên và hidden</t>
  </si>
  <si>
    <t>F-D13-04</t>
  </si>
  <si>
    <t>High nếu tái hiện</t>
  </si>
  <si>
    <t>BE lưu stderr (judge-queue.service.ts ~dòng 138) và errorMessage = stderr (~dòng 147) cho cả HIDDEN test, judge.controller.ts trả về cả hai; comment trong controller nói hidden data "never persisted". Traceback có thể chứa nguyên văn dòng input hidden; python-guard không chặn raise/input().</t>
  </si>
  <si>
    <t>probe-leak: 2/2 hidden test của 2 bài bị echo dòng input đầu (reports/probe-leak)</t>
  </si>
  <si>
    <t>Đọc code + mô phỏng. CHƯA chạy trên server thật</t>
  </si>
  <si>
    <t>Không lưu/trả stderr và errorMessage cho test hidden; tái hiện trên UI trước khi báo mentor</t>
  </si>
  <si>
    <t>Cần tái hiện</t>
  </si>
  <si>
    <t>F-D13-05</t>
  </si>
  <si>
    <t>Judge cắt stdout ở 64KB (MAX_OUTPUT_BYTES): bài có output đúng &gt; 64KB không thể AC, bị chấm WA im lặng. Phát hiện khi chính reference bị WA với test 12.000 phần tử.</t>
  </si>
  <si>
    <t>STOP gate exit 3 (reference WA, 9/10); stdout 65536 ký tự so với expected 82630</t>
  </si>
  <si>
    <t>Đã chạy</t>
  </si>
  <si>
    <t>Tránh output lớn hoặc nâng giới hạn / thêm trạng thái OLE. Rule CP019 bắt ở tầng test data</t>
  </si>
  <si>
    <t>Đã thêm rule CP019</t>
  </si>
  <si>
    <t>F-D13-06</t>
  </si>
  <si>
    <t>Info</t>
  </si>
  <si>
    <t>Judge trim() hai đầu nên khoảng trắng/xuống dòng thừa Ở CUỐI không bị bắt (MUT-13, SRT-12 sống sót). Nhãn thừa, dòng debug, sai hoa/thường, sai dấu phân cách đều bị bắt.</t>
  </si>
  <si>
    <t>judge-queue.service.ts dòng 123; MUT-09/11/12/13, SRT-08/09/12</t>
  </si>
  <si>
    <t>Đọc code + đã chạy</t>
  </si>
  <si>
    <t>Ghi rõ chính sách so sánh trong đề nếu cần "exact output"</t>
  </si>
  <si>
    <t>Ghi nhận</t>
  </si>
  <si>
    <t>F-D13-07</t>
  </si>
  <si>
    <t>Low</t>
  </si>
  <si>
    <t>Trạng thái tổng của submission = trạng thái của test fail CUỐI CÙNG (mỗi test fail ghi đè status). Bài vừa WA vừa TLE hiển thị theo test sau cùng.</t>
  </si>
  <si>
    <t>judge-queue.service.ts dòng 143-148</t>
  </si>
  <si>
    <t>Đọc code (tool mô phỏng cùng hành vi)</t>
  </si>
  <si>
    <t>Xác nhận đây là chủ ý</t>
  </si>
  <si>
    <t>Cần xác nhận</t>
  </si>
  <si>
    <t>F-D13-08</t>
  </si>
  <si>
    <t>Medium-High nếu tái hiện</t>
  </si>
  <si>
    <t>hints.hint3 của 20/20 bài Ngày 14 trùng nguyên văn solutionCode; ExerciseService.findBySlug select cả "hints" nên GET /exercises/:slug trả nguyên object, trong khi HintService che nội dung theo unlock + cooldown.</t>
  </si>
  <si>
    <t>node real-content/check-hint3-equals-solution.js -&gt; 20/20</t>
  </si>
  <si>
    <t>Đọc code + đếm. CHƯA gọi API thật</t>
  </si>
  <si>
    <t>Loại hints khỏi findBySlug (dùng endpoint hint có unlock)</t>
  </si>
  <si>
    <t>F-D13-09</t>
  </si>
  <si>
    <t>Nội bộ tool</t>
  </si>
  <si>
    <t>Lần chạy đầu của validator báo 14 ERROR trên dữ liệu thật; rà tay từng bài: cả 14 là báo oan của CP008, CP010, CP014. Đã sửa rule và giữ 3 ca thành fixture good FIX-G02/03/04.</t>
  </si>
  <si>
    <t>AI_WORKLOG.md mục 1; fixtures/good</t>
  </si>
  <si>
    <t>Đã rà tay + có test</t>
  </si>
  <si>
    <t>Đã sửa</t>
  </si>
  <si>
    <t>E. RULE CATALOG NGÀY 13</t>
  </si>
  <si>
    <t>Sheet tham chiếu</t>
  </si>
  <si>
    <t>CP001–CP010</t>
  </si>
  <si>
    <t>01_Rule_Catalog — rule theo kế hoạch</t>
  </si>
  <si>
    <t>CP011–CP019</t>
  </si>
  <si>
    <t>01_Rule_Catalog — rule bổ sung sau khi đọc dữ liệu thật/code judge</t>
  </si>
  <si>
    <t>NGÀY 13 — RULE CATALOG CP001–CP019</t>
  </si>
  <si>
    <t>CP001–CP010 bám theo yêu cầu Ngày 13; CP011–CP019 là rule bổ sung sau khi đọc dữ liệu thật và code judge của BE.</t>
  </si>
  <si>
    <t>A. RULE THEO KẾ HOẠCH — CP001–CP010</t>
  </si>
  <si>
    <t>Mã</t>
  </si>
  <si>
    <t>Tên trong kế hoạch</t>
  </si>
  <si>
    <t>Tên mình dùng</t>
  </si>
  <si>
    <t>CP001</t>
  </si>
  <si>
    <t>Missing statement</t>
  </si>
  <si>
    <t>Thiếu đề bài</t>
  </si>
  <si>
    <t>Missing constraints</t>
  </si>
  <si>
    <t>Đề không nêu ràng buộc</t>
  </si>
  <si>
    <t>CP003</t>
  </si>
  <si>
    <t>Missing sample input</t>
  </si>
  <si>
    <t>Không có sample test</t>
  </si>
  <si>
    <t>CP004</t>
  </si>
  <si>
    <t>Missing expected output</t>
  </si>
  <si>
    <t>Test thiếu input/expectedOutput</t>
  </si>
  <si>
    <t>CP005</t>
  </si>
  <si>
    <t>No reference solution</t>
  </si>
  <si>
    <t>Không có reference solution</t>
  </si>
  <si>
    <t>CP006</t>
  </si>
  <si>
    <t>Reference solution failed</t>
  </si>
  <si>
    <t>Reference không đạt AC</t>
  </si>
  <si>
    <t>CP007</t>
  </si>
  <si>
    <t>Invalid timeout</t>
  </si>
  <si>
    <t>timeLimitMs không hợp lệ</t>
  </si>
  <si>
    <t>CP008</t>
  </si>
  <si>
    <t>Output format mismatch</t>
  </si>
  <si>
    <t>Định dạng output mâu thuẫn với đề</t>
  </si>
  <si>
    <t>CP009</t>
  </si>
  <si>
    <t>No hidden tests</t>
  </si>
  <si>
    <t>Không có hidden test</t>
  </si>
  <si>
    <t>CP010</t>
  </si>
  <si>
    <t>Constraint/test inconsistency</t>
  </si>
  <si>
    <t>Test không nhất quán với đề/constraints</t>
  </si>
  <si>
    <t>B. RULE BỔ SUNG SAU KHI ĐỌC DỮ LIỆU THẬT / CODE JUDGE — CP011–CP019</t>
  </si>
  <si>
    <t>Tên rule bổ sung</t>
  </si>
  <si>
    <t>Ý nghĩa / tên mình dùng</t>
  </si>
  <si>
    <t>CP011</t>
  </si>
  <si>
    <t>Duplicate test input</t>
  </si>
  <si>
    <t>Hai test trùng input</t>
  </si>
  <si>
    <t>CP012</t>
  </si>
  <si>
    <t>Hidden duplicates sample</t>
  </si>
  <si>
    <t>Hidden test trùng input với sample</t>
  </si>
  <si>
    <t>Thin test suite</t>
  </si>
  <si>
    <t>Bộ test quá mỏng</t>
  </si>
  <si>
    <t>CP014</t>
  </si>
  <si>
    <t>Starter code leaks solution</t>
  </si>
  <si>
    <t>starterCode đã chứa lời giải</t>
  </si>
  <si>
    <t>CP015</t>
  </si>
  <si>
    <t>Reference violates sandbox guard</t>
  </si>
  <si>
    <t>Reference vi phạm sandbox guard</t>
  </si>
  <si>
    <t>CP016</t>
  </si>
  <si>
    <t>Hidden data leaked in statement</t>
  </si>
  <si>
    <t>Dữ liệu hidden lộ trong đề bài</t>
  </si>
  <si>
    <t>CP017</t>
  </si>
  <si>
    <t>Missing / duplicate slug</t>
  </si>
  <si>
    <t>Thiếu hoặc trùng slug</t>
  </si>
  <si>
    <t>CP018</t>
  </si>
  <si>
    <t>Trailing whitespace in expected output</t>
  </si>
  <si>
    <t>Khoảng trắng thừa ở expectedOutput</t>
  </si>
  <si>
    <t>CP019</t>
  </si>
  <si>
    <t>Expected output too large</t>
  </si>
  <si>
    <t>expectedOutput dài hơn 64KB</t>
  </si>
  <si>
    <t>Phạm vi</t>
  </si>
  <si>
    <t>CP001–CP010 là baseline theo kế hoạch Ngày 13.</t>
  </si>
  <si>
    <t>Bổ sung</t>
  </si>
  <si>
    <t>CP011–CP019 không có sẵn trong kế hoạch; được thêm để phù hợp dữ liệu thật và hành vi judge của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</si>
</sst>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5">
    <font>
      <sz val="11"/>
      <color theme="1"/>
      <name val="Calibri"/>
    </font>
    <font>
      <sz val="10"/>
      <name val="Arial"/>
    </font>
    <font>
      <i/>
      <sz val="9"/>
      <color rgb="FF595959"/>
      <name val="Arial"/>
    </font>
    <font>
      <b/>
      <sz val="10"/>
      <color rgb="FF1F1F1F"/>
      <name val="Arial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1F1F1F"/>
      <name val="Carlito"/>
    </font>
    <font>
      <sz val="11"/>
      <color rgb="FF1F1F1F"/>
      <name val="Carlito"/>
    </font>
    <font>
      <b/>
      <sz val="11"/>
      <color rgb="FF17365D"/>
      <name val="Carlito"/>
    </font>
    <font>
      <b/>
      <sz val="11"/>
      <color rgb="FF006100"/>
      <name val="Carlito"/>
    </font>
    <font>
      <b/>
      <sz val="11"/>
      <color rgb="FF9C0006"/>
      <name val="Carlito"/>
    </font>
    <font>
      <i/>
      <sz val="11"/>
      <color rgb="FF1F1F1F"/>
      <name val="Carlito"/>
    </font>
    <font>
      <b/>
      <sz val="11"/>
      <color rgb="FF1F4E79"/>
      <name val="Carlito"/>
    </font>
    <font>
      <b/>
      <sz val="11"/>
      <color rgb="FF9C6500"/>
      <name val="Carlito"/>
    </font>
    <font>
      <b/>
      <sz val="11"/>
      <color rgb="FF666666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3" fillId="0" borderId="1" xfId="0" applyFont="1" applyBorder="1"/>
    <xf numFmtId="9" fontId="1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10" borderId="1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8" fillId="14" borderId="2" xfId="0" applyFont="1" applyFill="1" applyBorder="1" applyAlignment="1">
      <alignment vertical="center" wrapText="1"/>
    </xf>
    <xf numFmtId="0" fontId="8" fillId="14" borderId="7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left" vertical="center" wrapText="1"/>
    </xf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showGridLines="0" workbookViewId="0">
      <selection sqref="A1:F1"/>
    </sheetView>
  </sheetViews>
  <sheetFormatPr defaultColWidth="8.7109375" defaultRowHeight="15"/>
  <cols>
    <col min="1" max="1" width="28" style="1" customWidth="1"/>
    <col min="2" max="2" width="42" style="1" customWidth="1"/>
    <col min="3" max="3" width="16" style="1" customWidth="1"/>
    <col min="4" max="4" width="18" style="1" customWidth="1"/>
    <col min="5" max="5" width="20" style="1" customWidth="1"/>
    <col min="6" max="6" width="52" style="1" customWidth="1"/>
    <col min="7" max="16384" width="8.7109375" style="1"/>
  </cols>
  <sheetData>
    <row r="1" spans="1:6" ht="15" customHeight="1">
      <c r="A1" s="38" t="s">
        <v>0</v>
      </c>
      <c r="B1" s="38"/>
      <c r="C1" s="38"/>
      <c r="D1" s="38"/>
      <c r="E1" s="38"/>
      <c r="F1" s="38"/>
    </row>
    <row r="2" spans="1:6" ht="15" customHeight="1">
      <c r="A2" s="39" t="s">
        <v>1</v>
      </c>
      <c r="B2" s="39"/>
      <c r="C2" s="39"/>
      <c r="D2" s="39"/>
      <c r="E2" s="39"/>
      <c r="F2" s="39"/>
    </row>
    <row r="4" spans="1:6" ht="15" customHeight="1">
      <c r="A4" s="40" t="s">
        <v>2</v>
      </c>
      <c r="B4" s="40"/>
      <c r="C4" s="40"/>
      <c r="D4" s="40"/>
      <c r="E4" s="40"/>
      <c r="F4" s="40"/>
    </row>
    <row r="5" spans="1:6" ht="15" customHeight="1">
      <c r="A5" s="2" t="s">
        <v>3</v>
      </c>
      <c r="B5" s="2" t="s">
        <v>4</v>
      </c>
      <c r="C5" s="2"/>
      <c r="D5" s="2"/>
      <c r="E5" s="2"/>
      <c r="F5" s="2"/>
    </row>
    <row r="6" spans="1:6" ht="15" customHeight="1">
      <c r="A6" s="3" t="s">
        <v>5</v>
      </c>
      <c r="B6" s="37" t="s">
        <v>6</v>
      </c>
      <c r="C6" s="37"/>
      <c r="D6" s="37"/>
      <c r="E6" s="37"/>
      <c r="F6" s="37"/>
    </row>
    <row r="7" spans="1:6" ht="15" customHeight="1">
      <c r="A7" s="3" t="s">
        <v>7</v>
      </c>
      <c r="B7" s="37" t="s">
        <v>8</v>
      </c>
      <c r="C7" s="37"/>
      <c r="D7" s="37"/>
      <c r="E7" s="37"/>
      <c r="F7" s="37"/>
    </row>
    <row r="8" spans="1:6" ht="15" customHeight="1">
      <c r="A8" s="3" t="s">
        <v>9</v>
      </c>
      <c r="B8" s="37" t="s">
        <v>10</v>
      </c>
      <c r="C8" s="37"/>
      <c r="D8" s="37"/>
      <c r="E8" s="37"/>
      <c r="F8" s="37"/>
    </row>
    <row r="9" spans="1:6" ht="15" customHeight="1">
      <c r="A9" s="3" t="s">
        <v>11</v>
      </c>
      <c r="B9" s="37" t="s">
        <v>12</v>
      </c>
      <c r="C9" s="37"/>
      <c r="D9" s="37"/>
      <c r="E9" s="37"/>
      <c r="F9" s="37"/>
    </row>
    <row r="10" spans="1:6" ht="15" customHeight="1">
      <c r="A10" s="3" t="s">
        <v>13</v>
      </c>
      <c r="B10" s="37" t="s">
        <v>14</v>
      </c>
      <c r="C10" s="37"/>
      <c r="D10" s="37"/>
      <c r="E10" s="37"/>
      <c r="F10" s="37"/>
    </row>
    <row r="11" spans="1:6" ht="15" customHeight="1">
      <c r="A11" s="3" t="s">
        <v>15</v>
      </c>
      <c r="B11" s="37" t="s">
        <v>16</v>
      </c>
      <c r="C11" s="37"/>
      <c r="D11" s="37"/>
      <c r="E11" s="37"/>
      <c r="F11" s="37"/>
    </row>
    <row r="12" spans="1:6" ht="15" customHeight="1">
      <c r="A12" s="3" t="s">
        <v>17</v>
      </c>
      <c r="B12" s="37" t="s">
        <v>18</v>
      </c>
      <c r="C12" s="37"/>
      <c r="D12" s="37"/>
      <c r="E12" s="37"/>
      <c r="F12" s="37"/>
    </row>
    <row r="14" spans="1:6" ht="15" customHeight="1">
      <c r="A14" s="40" t="s">
        <v>19</v>
      </c>
      <c r="B14" s="40"/>
      <c r="C14" s="40"/>
      <c r="D14" s="40"/>
      <c r="E14" s="40"/>
      <c r="F14" s="40"/>
    </row>
    <row r="15" spans="1:6" ht="15" customHeight="1">
      <c r="A15" s="5" t="s">
        <v>20</v>
      </c>
      <c r="B15" s="37" t="s">
        <v>21</v>
      </c>
      <c r="C15" s="37"/>
      <c r="D15" s="37"/>
      <c r="E15" s="37"/>
      <c r="F15" s="37"/>
    </row>
    <row r="16" spans="1:6" ht="15" customHeight="1">
      <c r="A16" s="5" t="s">
        <v>22</v>
      </c>
      <c r="B16" s="37" t="s">
        <v>23</v>
      </c>
      <c r="C16" s="37"/>
      <c r="D16" s="37"/>
      <c r="E16" s="37"/>
      <c r="F16" s="37"/>
    </row>
    <row r="17" spans="1:6" ht="15" customHeight="1">
      <c r="A17" s="5" t="s">
        <v>24</v>
      </c>
      <c r="B17" s="37" t="s">
        <v>25</v>
      </c>
      <c r="C17" s="37"/>
      <c r="D17" s="37"/>
      <c r="E17" s="37"/>
      <c r="F17" s="37"/>
    </row>
    <row r="18" spans="1:6" ht="15" customHeight="1">
      <c r="A18" s="5" t="s">
        <v>26</v>
      </c>
      <c r="B18" s="37" t="s">
        <v>27</v>
      </c>
      <c r="C18" s="37"/>
      <c r="D18" s="37"/>
      <c r="E18" s="37"/>
      <c r="F18" s="37"/>
    </row>
    <row r="19" spans="1:6" ht="15" customHeight="1">
      <c r="A19" s="5" t="s">
        <v>28</v>
      </c>
      <c r="B19" s="37" t="s">
        <v>29</v>
      </c>
      <c r="C19" s="37"/>
      <c r="D19" s="37"/>
      <c r="E19" s="37"/>
      <c r="F19" s="37"/>
    </row>
    <row r="20" spans="1:6" ht="15" customHeight="1">
      <c r="A20" s="5" t="s">
        <v>30</v>
      </c>
      <c r="B20" s="37" t="s">
        <v>31</v>
      </c>
      <c r="C20" s="37"/>
      <c r="D20" s="37"/>
      <c r="E20" s="37"/>
      <c r="F20" s="37"/>
    </row>
    <row r="21" spans="1:6" ht="15" customHeight="1">
      <c r="A21" s="5" t="s">
        <v>32</v>
      </c>
      <c r="B21" s="37" t="s">
        <v>33</v>
      </c>
      <c r="C21" s="37"/>
      <c r="D21" s="37"/>
      <c r="E21" s="37"/>
      <c r="F21" s="37"/>
    </row>
    <row r="22" spans="1:6" ht="15" customHeight="1">
      <c r="A22" s="5" t="s">
        <v>34</v>
      </c>
      <c r="B22" s="37" t="s">
        <v>35</v>
      </c>
      <c r="C22" s="37"/>
      <c r="D22" s="37"/>
      <c r="E22" s="37"/>
      <c r="F22" s="37"/>
    </row>
    <row r="24" spans="1:6" ht="15" customHeight="1">
      <c r="A24" s="40" t="s">
        <v>36</v>
      </c>
      <c r="B24" s="40"/>
      <c r="C24" s="40"/>
      <c r="D24" s="40"/>
      <c r="E24" s="40"/>
      <c r="F24" s="40"/>
    </row>
    <row r="25" spans="1:6" ht="15" customHeight="1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41</v>
      </c>
      <c r="F25" s="2" t="s">
        <v>42</v>
      </c>
    </row>
    <row r="26" spans="1:6" ht="15" customHeight="1">
      <c r="A26" s="6" t="s">
        <v>43</v>
      </c>
      <c r="B26" s="7" t="str">
        <f>'02_Reference_Run'!D36&amp;"/"&amp;'02_Reference_Run'!D35</f>
        <v>30/30</v>
      </c>
      <c r="C26" s="7" t="s">
        <v>44</v>
      </c>
      <c r="D26" s="8" t="str">
        <f>IF('02_Reference_Run'!D37=1,"ĐẠT","CHƯA ĐẠT")</f>
        <v>ĐẠT</v>
      </c>
      <c r="E26" s="4" t="s">
        <v>45</v>
      </c>
      <c r="F26" s="4" t="s">
        <v>46</v>
      </c>
    </row>
    <row r="27" spans="1:6" ht="26.45" customHeight="1">
      <c r="A27" s="6" t="s">
        <v>47</v>
      </c>
      <c r="B27" s="9">
        <f>'05_Coverage_Report'!I7</f>
        <v>0.66666666666666663</v>
      </c>
      <c r="C27" s="9">
        <f>'05_Coverage_Report'!C4</f>
        <v>0.8</v>
      </c>
      <c r="D27" s="10" t="str">
        <f>IF('05_Coverage_Report'!I7&gt;='05_Coverage_Report'!C4,"ĐẠT","CHƯA ĐẠT")</f>
        <v>CHƯA ĐẠT</v>
      </c>
      <c r="E27" s="4" t="s">
        <v>48</v>
      </c>
      <c r="F27" s="4" t="s">
        <v>49</v>
      </c>
    </row>
    <row r="28" spans="1:6" ht="26.45" customHeight="1">
      <c r="A28" s="6" t="s">
        <v>50</v>
      </c>
      <c r="B28" s="9">
        <f>'05_Coverage_Report'!I8</f>
        <v>1</v>
      </c>
      <c r="C28" s="9">
        <f>'05_Coverage_Report'!C4</f>
        <v>0.8</v>
      </c>
      <c r="D28" s="8" t="str">
        <f>IF('05_Coverage_Report'!I8&gt;='05_Coverage_Report'!C4,"ĐẠT","CHƯA ĐẠT")</f>
        <v>ĐẠT</v>
      </c>
      <c r="E28" s="4" t="s">
        <v>48</v>
      </c>
      <c r="F28" s="4" t="s">
        <v>51</v>
      </c>
    </row>
    <row r="29" spans="1:6" ht="15" customHeight="1">
      <c r="A29" s="6" t="s">
        <v>52</v>
      </c>
      <c r="B29" s="9">
        <f>'05_Coverage_Report'!I9</f>
        <v>0.90909090909090906</v>
      </c>
      <c r="C29" s="9">
        <f>'05_Coverage_Report'!C4</f>
        <v>0.8</v>
      </c>
      <c r="D29" s="8" t="str">
        <f>IF('05_Coverage_Report'!I9&gt;='05_Coverage_Report'!C4,"ĐẠT","CHƯA ĐẠT")</f>
        <v>ĐẠT</v>
      </c>
      <c r="E29" s="4" t="s">
        <v>48</v>
      </c>
      <c r="F29" s="4"/>
    </row>
    <row r="30" spans="1:6" ht="26.45" customHeight="1">
      <c r="A30" s="6" t="s">
        <v>53</v>
      </c>
      <c r="B30" s="9">
        <f>'05_Coverage_Report'!I10</f>
        <v>1</v>
      </c>
      <c r="C30" s="9">
        <f>'05_Coverage_Report'!C4</f>
        <v>0.8</v>
      </c>
      <c r="D30" s="8" t="str">
        <f>IF('05_Coverage_Report'!I10&gt;='05_Coverage_Report'!C4,"ĐẠT","CHƯA ĐẠT")</f>
        <v>ĐẠT</v>
      </c>
      <c r="E30" s="4" t="s">
        <v>48</v>
      </c>
      <c r="F30" s="4"/>
    </row>
    <row r="31" spans="1:6" ht="15" customHeight="1">
      <c r="A31" s="6" t="s">
        <v>54</v>
      </c>
      <c r="B31" s="7" t="s">
        <v>55</v>
      </c>
      <c r="C31" s="7" t="s">
        <v>56</v>
      </c>
      <c r="D31" s="8" t="s">
        <v>57</v>
      </c>
      <c r="E31" s="4" t="s">
        <v>58</v>
      </c>
      <c r="F31" s="4" t="s">
        <v>59</v>
      </c>
    </row>
    <row r="32" spans="1:6" ht="15" customHeight="1">
      <c r="A32" s="6" t="s">
        <v>60</v>
      </c>
      <c r="B32" s="7" t="str">
        <f>'05_Coverage_Report'!M8+'05_Coverage_Report'!M10&amp;" mutant bị bắt bằng TIMEOUT"</f>
        <v>2 mutant bị bắt bằng TIMEOUT</v>
      </c>
      <c r="C32" s="7" t="s">
        <v>61</v>
      </c>
      <c r="D32" s="8" t="s">
        <v>62</v>
      </c>
      <c r="E32" s="4" t="s">
        <v>63</v>
      </c>
      <c r="F32" s="4" t="s">
        <v>64</v>
      </c>
    </row>
    <row r="34" spans="1:6" ht="15" customHeight="1">
      <c r="A34" s="40" t="s">
        <v>65</v>
      </c>
      <c r="B34" s="40"/>
      <c r="C34" s="40"/>
      <c r="D34" s="40"/>
      <c r="E34" s="40"/>
      <c r="F34" s="40"/>
    </row>
    <row r="35" spans="1:6" ht="15" customHeight="1">
      <c r="A35" s="11" t="s">
        <v>66</v>
      </c>
      <c r="B35" s="37" t="s">
        <v>67</v>
      </c>
      <c r="C35" s="37"/>
      <c r="D35" s="37"/>
      <c r="E35" s="37"/>
      <c r="F35" s="37"/>
    </row>
    <row r="36" spans="1:6" ht="15" customHeight="1">
      <c r="A36" s="11" t="s">
        <v>66</v>
      </c>
      <c r="B36" s="37" t="s">
        <v>68</v>
      </c>
      <c r="C36" s="37"/>
      <c r="D36" s="37"/>
      <c r="E36" s="37"/>
      <c r="F36" s="37"/>
    </row>
    <row r="37" spans="1:6" ht="15" customHeight="1">
      <c r="A37" s="11" t="s">
        <v>66</v>
      </c>
      <c r="B37" s="37" t="s">
        <v>69</v>
      </c>
      <c r="C37" s="37"/>
      <c r="D37" s="37"/>
      <c r="E37" s="37"/>
      <c r="F37" s="37"/>
    </row>
    <row r="38" spans="1:6" ht="15" customHeight="1">
      <c r="A38" s="11" t="s">
        <v>66</v>
      </c>
      <c r="B38" s="37" t="s">
        <v>70</v>
      </c>
      <c r="C38" s="37"/>
      <c r="D38" s="37"/>
      <c r="E38" s="37"/>
      <c r="F38" s="37"/>
    </row>
    <row r="40" spans="1:6" ht="15" customHeight="1">
      <c r="A40" s="41" t="s">
        <v>407</v>
      </c>
      <c r="B40" s="41"/>
      <c r="C40" s="41"/>
      <c r="D40" s="41"/>
      <c r="E40" s="41"/>
      <c r="F40" s="41"/>
    </row>
    <row r="41" spans="1:6" ht="15" customHeight="1">
      <c r="A41" s="22" t="s">
        <v>4</v>
      </c>
      <c r="B41" s="22" t="s">
        <v>408</v>
      </c>
    </row>
    <row r="42" spans="1:6" ht="15" customHeight="1">
      <c r="A42" s="35" t="s">
        <v>409</v>
      </c>
      <c r="B42" s="25" t="s">
        <v>410</v>
      </c>
    </row>
    <row r="43" spans="1:6" ht="26.45" customHeight="1">
      <c r="A43" s="36" t="s">
        <v>411</v>
      </c>
      <c r="B43" s="31" t="s">
        <v>412</v>
      </c>
    </row>
  </sheetData>
  <mergeCells count="26">
    <mergeCell ref="A40:F40"/>
    <mergeCell ref="B12:F12"/>
    <mergeCell ref="B15:F15"/>
    <mergeCell ref="B16:F16"/>
    <mergeCell ref="B17:F17"/>
    <mergeCell ref="B6:F6"/>
    <mergeCell ref="B7:F7"/>
    <mergeCell ref="B8:F8"/>
    <mergeCell ref="B9:F9"/>
    <mergeCell ref="B10:F10"/>
    <mergeCell ref="B35:F35"/>
    <mergeCell ref="B36:F36"/>
    <mergeCell ref="B37:F37"/>
    <mergeCell ref="B38:F38"/>
    <mergeCell ref="A1:F1"/>
    <mergeCell ref="A2:F2"/>
    <mergeCell ref="A4:F4"/>
    <mergeCell ref="A14:F14"/>
    <mergeCell ref="A24:F24"/>
    <mergeCell ref="A34:F34"/>
    <mergeCell ref="B18:F18"/>
    <mergeCell ref="B19:F19"/>
    <mergeCell ref="B20:F20"/>
    <mergeCell ref="B21:F21"/>
    <mergeCell ref="B22:F22"/>
    <mergeCell ref="B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showGridLines="0" topLeftCell="A34" workbookViewId="0">
      <selection sqref="A1:P1"/>
    </sheetView>
  </sheetViews>
  <sheetFormatPr defaultColWidth="8.7109375" defaultRowHeight="15"/>
  <cols>
    <col min="1" max="1" width="6" style="1" customWidth="1"/>
    <col min="2" max="2" width="28" style="1" customWidth="1"/>
    <col min="3" max="3" width="11" style="1" customWidth="1"/>
    <col min="4" max="4" width="9" style="1" customWidth="1"/>
    <col min="5" max="5" width="10" style="1" customWidth="1"/>
    <col min="6" max="6" width="14" style="1" customWidth="1"/>
    <col min="7" max="7" width="16" style="1" customWidth="1"/>
    <col min="8" max="8" width="18" style="1" customWidth="1"/>
    <col min="9" max="9" width="22" style="1" customWidth="1"/>
    <col min="10" max="10" width="14" style="1" customWidth="1"/>
    <col min="11" max="11" width="23" style="1" customWidth="1"/>
    <col min="12" max="12" width="22" style="1" customWidth="1"/>
    <col min="13" max="13" width="23" style="1" customWidth="1"/>
    <col min="14" max="14" width="18" style="1" customWidth="1"/>
    <col min="15" max="15" width="20" style="1" customWidth="1"/>
    <col min="16" max="16" width="30" style="1" customWidth="1"/>
    <col min="17" max="16384" width="8.7109375" style="1"/>
  </cols>
  <sheetData>
    <row r="1" spans="1:16" ht="15" customHeight="1">
      <c r="A1" s="38" t="s">
        <v>71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5" customHeight="1">
      <c r="A2" s="39" t="s">
        <v>72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26.45" customHeight="1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82</v>
      </c>
      <c r="K3" s="2" t="s">
        <v>83</v>
      </c>
      <c r="L3" s="2" t="s">
        <v>84</v>
      </c>
      <c r="M3" s="2" t="s">
        <v>85</v>
      </c>
      <c r="N3" s="2" t="s">
        <v>86</v>
      </c>
      <c r="O3" s="2" t="s">
        <v>87</v>
      </c>
      <c r="P3" s="2" t="s">
        <v>88</v>
      </c>
    </row>
    <row r="4" spans="1:16" ht="15" customHeight="1">
      <c r="A4" s="7">
        <v>1</v>
      </c>
      <c r="B4" s="4" t="s">
        <v>89</v>
      </c>
      <c r="C4" s="7" t="s">
        <v>90</v>
      </c>
      <c r="D4" s="7">
        <v>4</v>
      </c>
      <c r="E4" s="7">
        <v>2</v>
      </c>
      <c r="F4" s="7" t="s">
        <v>91</v>
      </c>
      <c r="G4" s="12" t="s">
        <v>92</v>
      </c>
      <c r="H4" s="7" t="s">
        <v>91</v>
      </c>
      <c r="I4" s="7" t="s">
        <v>91</v>
      </c>
      <c r="J4" s="7" t="s">
        <v>91</v>
      </c>
      <c r="K4" s="7" t="s">
        <v>91</v>
      </c>
      <c r="L4" s="7" t="s">
        <v>91</v>
      </c>
      <c r="M4" s="7" t="s">
        <v>91</v>
      </c>
      <c r="N4" s="7" t="s">
        <v>93</v>
      </c>
      <c r="O4" s="13"/>
      <c r="P4" s="13"/>
    </row>
    <row r="5" spans="1:16" ht="15" customHeight="1">
      <c r="A5" s="7">
        <v>2</v>
      </c>
      <c r="B5" s="4" t="s">
        <v>94</v>
      </c>
      <c r="C5" s="7" t="s">
        <v>90</v>
      </c>
      <c r="D5" s="7">
        <v>4</v>
      </c>
      <c r="E5" s="7">
        <v>2</v>
      </c>
      <c r="F5" s="7" t="s">
        <v>91</v>
      </c>
      <c r="G5" s="12" t="s">
        <v>92</v>
      </c>
      <c r="H5" s="7" t="s">
        <v>91</v>
      </c>
      <c r="I5" s="7" t="s">
        <v>91</v>
      </c>
      <c r="J5" s="7" t="s">
        <v>91</v>
      </c>
      <c r="K5" s="7" t="s">
        <v>91</v>
      </c>
      <c r="L5" s="7" t="s">
        <v>91</v>
      </c>
      <c r="M5" s="7" t="s">
        <v>91</v>
      </c>
      <c r="N5" s="7" t="s">
        <v>93</v>
      </c>
      <c r="O5" s="13"/>
      <c r="P5" s="13"/>
    </row>
    <row r="6" spans="1:16" ht="15" customHeight="1">
      <c r="A6" s="7">
        <v>3</v>
      </c>
      <c r="B6" s="4" t="s">
        <v>95</v>
      </c>
      <c r="C6" s="7" t="s">
        <v>96</v>
      </c>
      <c r="D6" s="7">
        <v>3</v>
      </c>
      <c r="E6" s="7">
        <v>1</v>
      </c>
      <c r="F6" s="7" t="s">
        <v>91</v>
      </c>
      <c r="G6" s="12" t="s">
        <v>92</v>
      </c>
      <c r="H6" s="7" t="s">
        <v>91</v>
      </c>
      <c r="I6" s="7" t="s">
        <v>91</v>
      </c>
      <c r="J6" s="7" t="s">
        <v>91</v>
      </c>
      <c r="K6" s="7" t="s">
        <v>91</v>
      </c>
      <c r="L6" s="12" t="s">
        <v>92</v>
      </c>
      <c r="M6" s="7" t="s">
        <v>91</v>
      </c>
      <c r="N6" s="7" t="s">
        <v>97</v>
      </c>
      <c r="O6" s="13"/>
      <c r="P6" s="13"/>
    </row>
    <row r="7" spans="1:16" ht="15" customHeight="1">
      <c r="A7" s="7">
        <v>4</v>
      </c>
      <c r="B7" s="4" t="s">
        <v>98</v>
      </c>
      <c r="C7" s="7" t="s">
        <v>90</v>
      </c>
      <c r="D7" s="7">
        <v>3</v>
      </c>
      <c r="E7" s="7">
        <v>1</v>
      </c>
      <c r="F7" s="7" t="s">
        <v>91</v>
      </c>
      <c r="G7" s="12" t="s">
        <v>92</v>
      </c>
      <c r="H7" s="7" t="s">
        <v>91</v>
      </c>
      <c r="I7" s="7" t="s">
        <v>91</v>
      </c>
      <c r="J7" s="7" t="s">
        <v>91</v>
      </c>
      <c r="K7" s="7" t="s">
        <v>91</v>
      </c>
      <c r="L7" s="12" t="s">
        <v>92</v>
      </c>
      <c r="M7" s="7" t="s">
        <v>91</v>
      </c>
      <c r="N7" s="7" t="s">
        <v>97</v>
      </c>
      <c r="O7" s="13"/>
      <c r="P7" s="13"/>
    </row>
    <row r="8" spans="1:16" ht="15" customHeight="1">
      <c r="A8" s="7">
        <v>5</v>
      </c>
      <c r="B8" s="4" t="s">
        <v>99</v>
      </c>
      <c r="C8" s="7" t="s">
        <v>96</v>
      </c>
      <c r="D8" s="7">
        <v>4</v>
      </c>
      <c r="E8" s="7">
        <v>2</v>
      </c>
      <c r="F8" s="7" t="s">
        <v>91</v>
      </c>
      <c r="G8" s="12" t="s">
        <v>92</v>
      </c>
      <c r="H8" s="7" t="s">
        <v>91</v>
      </c>
      <c r="I8" s="7" t="s">
        <v>91</v>
      </c>
      <c r="J8" s="7" t="s">
        <v>91</v>
      </c>
      <c r="K8" s="7" t="s">
        <v>91</v>
      </c>
      <c r="L8" s="7" t="s">
        <v>91</v>
      </c>
      <c r="M8" s="7" t="s">
        <v>91</v>
      </c>
      <c r="N8" s="7" t="s">
        <v>93</v>
      </c>
      <c r="O8" s="13"/>
      <c r="P8" s="13"/>
    </row>
    <row r="9" spans="1:16" ht="15" customHeight="1">
      <c r="A9" s="7">
        <v>6</v>
      </c>
      <c r="B9" s="4" t="s">
        <v>100</v>
      </c>
      <c r="C9" s="7" t="s">
        <v>90</v>
      </c>
      <c r="D9" s="7">
        <v>4</v>
      </c>
      <c r="E9" s="7">
        <v>2</v>
      </c>
      <c r="F9" s="7" t="s">
        <v>91</v>
      </c>
      <c r="G9" s="12" t="s">
        <v>92</v>
      </c>
      <c r="H9" s="7" t="s">
        <v>91</v>
      </c>
      <c r="I9" s="7" t="s">
        <v>91</v>
      </c>
      <c r="J9" s="7" t="s">
        <v>91</v>
      </c>
      <c r="K9" s="7" t="s">
        <v>91</v>
      </c>
      <c r="L9" s="7" t="s">
        <v>91</v>
      </c>
      <c r="M9" s="7" t="s">
        <v>91</v>
      </c>
      <c r="N9" s="7" t="s">
        <v>93</v>
      </c>
      <c r="O9" s="13"/>
      <c r="P9" s="13"/>
    </row>
    <row r="10" spans="1:16" ht="15" customHeight="1">
      <c r="A10" s="7">
        <v>7</v>
      </c>
      <c r="B10" s="4" t="s">
        <v>101</v>
      </c>
      <c r="C10" s="7" t="s">
        <v>90</v>
      </c>
      <c r="D10" s="7">
        <v>4</v>
      </c>
      <c r="E10" s="7">
        <v>2</v>
      </c>
      <c r="F10" s="7" t="s">
        <v>91</v>
      </c>
      <c r="G10" s="12" t="s">
        <v>92</v>
      </c>
      <c r="H10" s="7" t="s">
        <v>91</v>
      </c>
      <c r="I10" s="7" t="s">
        <v>91</v>
      </c>
      <c r="J10" s="7" t="s">
        <v>91</v>
      </c>
      <c r="K10" s="7" t="s">
        <v>91</v>
      </c>
      <c r="L10" s="7" t="s">
        <v>91</v>
      </c>
      <c r="M10" s="7" t="s">
        <v>91</v>
      </c>
      <c r="N10" s="7" t="s">
        <v>93</v>
      </c>
      <c r="O10" s="13"/>
      <c r="P10" s="13"/>
    </row>
    <row r="11" spans="1:16" ht="15" customHeight="1">
      <c r="A11" s="7">
        <v>8</v>
      </c>
      <c r="B11" s="4" t="s">
        <v>102</v>
      </c>
      <c r="C11" s="7" t="s">
        <v>96</v>
      </c>
      <c r="D11" s="7">
        <v>4</v>
      </c>
      <c r="E11" s="7">
        <v>2</v>
      </c>
      <c r="F11" s="7" t="s">
        <v>91</v>
      </c>
      <c r="G11" s="12" t="s">
        <v>92</v>
      </c>
      <c r="H11" s="7" t="s">
        <v>91</v>
      </c>
      <c r="I11" s="7" t="s">
        <v>91</v>
      </c>
      <c r="J11" s="7" t="s">
        <v>91</v>
      </c>
      <c r="K11" s="7" t="s">
        <v>91</v>
      </c>
      <c r="L11" s="7" t="s">
        <v>91</v>
      </c>
      <c r="M11" s="7" t="s">
        <v>91</v>
      </c>
      <c r="N11" s="7" t="s">
        <v>93</v>
      </c>
      <c r="O11" s="13"/>
      <c r="P11" s="13"/>
    </row>
    <row r="12" spans="1:16" ht="15" customHeight="1">
      <c r="A12" s="7">
        <v>9</v>
      </c>
      <c r="B12" s="4" t="s">
        <v>103</v>
      </c>
      <c r="C12" s="7" t="s">
        <v>96</v>
      </c>
      <c r="D12" s="7">
        <v>4</v>
      </c>
      <c r="E12" s="7">
        <v>2</v>
      </c>
      <c r="F12" s="7" t="s">
        <v>91</v>
      </c>
      <c r="G12" s="12" t="s">
        <v>92</v>
      </c>
      <c r="H12" s="7" t="s">
        <v>91</v>
      </c>
      <c r="I12" s="7" t="s">
        <v>91</v>
      </c>
      <c r="J12" s="7" t="s">
        <v>91</v>
      </c>
      <c r="K12" s="7" t="s">
        <v>91</v>
      </c>
      <c r="L12" s="7" t="s">
        <v>91</v>
      </c>
      <c r="M12" s="7" t="s">
        <v>91</v>
      </c>
      <c r="N12" s="7" t="s">
        <v>93</v>
      </c>
      <c r="O12" s="13"/>
      <c r="P12" s="13"/>
    </row>
    <row r="13" spans="1:16" ht="15" customHeight="1">
      <c r="A13" s="7">
        <v>10</v>
      </c>
      <c r="B13" s="4" t="s">
        <v>104</v>
      </c>
      <c r="C13" s="7" t="s">
        <v>105</v>
      </c>
      <c r="D13" s="7">
        <v>4</v>
      </c>
      <c r="E13" s="7">
        <v>2</v>
      </c>
      <c r="F13" s="7" t="s">
        <v>91</v>
      </c>
      <c r="G13" s="12" t="s">
        <v>92</v>
      </c>
      <c r="H13" s="7" t="s">
        <v>91</v>
      </c>
      <c r="I13" s="7" t="s">
        <v>91</v>
      </c>
      <c r="J13" s="7" t="s">
        <v>91</v>
      </c>
      <c r="K13" s="7" t="s">
        <v>91</v>
      </c>
      <c r="L13" s="7" t="s">
        <v>91</v>
      </c>
      <c r="M13" s="7" t="s">
        <v>91</v>
      </c>
      <c r="N13" s="7" t="s">
        <v>93</v>
      </c>
      <c r="O13" s="13"/>
      <c r="P13" s="13"/>
    </row>
    <row r="14" spans="1:16" ht="15" customHeight="1">
      <c r="A14" s="7">
        <v>11</v>
      </c>
      <c r="B14" s="4" t="s">
        <v>106</v>
      </c>
      <c r="C14" s="7" t="s">
        <v>90</v>
      </c>
      <c r="D14" s="7">
        <v>4</v>
      </c>
      <c r="E14" s="7">
        <v>2</v>
      </c>
      <c r="F14" s="7" t="s">
        <v>91</v>
      </c>
      <c r="G14" s="12" t="s">
        <v>92</v>
      </c>
      <c r="H14" s="7" t="s">
        <v>91</v>
      </c>
      <c r="I14" s="7" t="s">
        <v>91</v>
      </c>
      <c r="J14" s="7" t="s">
        <v>91</v>
      </c>
      <c r="K14" s="7" t="s">
        <v>91</v>
      </c>
      <c r="L14" s="7" t="s">
        <v>91</v>
      </c>
      <c r="M14" s="7" t="s">
        <v>91</v>
      </c>
      <c r="N14" s="7" t="s">
        <v>93</v>
      </c>
      <c r="O14" s="13"/>
      <c r="P14" s="13"/>
    </row>
    <row r="15" spans="1:16" ht="15" customHeight="1">
      <c r="A15" s="7">
        <v>12</v>
      </c>
      <c r="B15" s="4" t="s">
        <v>107</v>
      </c>
      <c r="C15" s="7" t="s">
        <v>90</v>
      </c>
      <c r="D15" s="7">
        <v>5</v>
      </c>
      <c r="E15" s="7">
        <v>3</v>
      </c>
      <c r="F15" s="7" t="s">
        <v>91</v>
      </c>
      <c r="G15" s="12" t="s">
        <v>92</v>
      </c>
      <c r="H15" s="7" t="s">
        <v>91</v>
      </c>
      <c r="I15" s="7" t="s">
        <v>91</v>
      </c>
      <c r="J15" s="7" t="s">
        <v>91</v>
      </c>
      <c r="K15" s="7" t="s">
        <v>91</v>
      </c>
      <c r="L15" s="7" t="s">
        <v>91</v>
      </c>
      <c r="M15" s="7" t="s">
        <v>91</v>
      </c>
      <c r="N15" s="7" t="s">
        <v>93</v>
      </c>
      <c r="O15" s="13"/>
      <c r="P15" s="13"/>
    </row>
    <row r="16" spans="1:16" ht="15" customHeight="1">
      <c r="A16" s="7">
        <v>13</v>
      </c>
      <c r="B16" s="4" t="s">
        <v>108</v>
      </c>
      <c r="C16" s="7" t="s">
        <v>96</v>
      </c>
      <c r="D16" s="7">
        <v>5</v>
      </c>
      <c r="E16" s="7">
        <v>3</v>
      </c>
      <c r="F16" s="7" t="s">
        <v>91</v>
      </c>
      <c r="G16" s="12" t="s">
        <v>92</v>
      </c>
      <c r="H16" s="7" t="s">
        <v>91</v>
      </c>
      <c r="I16" s="7" t="s">
        <v>91</v>
      </c>
      <c r="J16" s="7" t="s">
        <v>91</v>
      </c>
      <c r="K16" s="7" t="s">
        <v>91</v>
      </c>
      <c r="L16" s="7" t="s">
        <v>91</v>
      </c>
      <c r="M16" s="7" t="s">
        <v>91</v>
      </c>
      <c r="N16" s="7" t="s">
        <v>93</v>
      </c>
      <c r="O16" s="13"/>
      <c r="P16" s="13"/>
    </row>
    <row r="17" spans="1:16" ht="15" customHeight="1">
      <c r="A17" s="7">
        <v>14</v>
      </c>
      <c r="B17" s="4" t="s">
        <v>109</v>
      </c>
      <c r="C17" s="7" t="s">
        <v>96</v>
      </c>
      <c r="D17" s="7">
        <v>4</v>
      </c>
      <c r="E17" s="7">
        <v>2</v>
      </c>
      <c r="F17" s="7" t="s">
        <v>91</v>
      </c>
      <c r="G17" s="12" t="s">
        <v>92</v>
      </c>
      <c r="H17" s="7" t="s">
        <v>91</v>
      </c>
      <c r="I17" s="7" t="s">
        <v>91</v>
      </c>
      <c r="J17" s="7" t="s">
        <v>91</v>
      </c>
      <c r="K17" s="7" t="s">
        <v>91</v>
      </c>
      <c r="L17" s="7" t="s">
        <v>91</v>
      </c>
      <c r="M17" s="7" t="s">
        <v>91</v>
      </c>
      <c r="N17" s="7" t="s">
        <v>93</v>
      </c>
      <c r="O17" s="13"/>
      <c r="P17" s="13"/>
    </row>
    <row r="18" spans="1:16" ht="15" customHeight="1">
      <c r="A18" s="7">
        <v>15</v>
      </c>
      <c r="B18" s="4" t="s">
        <v>110</v>
      </c>
      <c r="C18" s="7" t="s">
        <v>90</v>
      </c>
      <c r="D18" s="7">
        <v>5</v>
      </c>
      <c r="E18" s="7">
        <v>3</v>
      </c>
      <c r="F18" s="7" t="s">
        <v>91</v>
      </c>
      <c r="G18" s="7" t="s">
        <v>91</v>
      </c>
      <c r="H18" s="7" t="s">
        <v>91</v>
      </c>
      <c r="I18" s="7" t="s">
        <v>91</v>
      </c>
      <c r="J18" s="7" t="s">
        <v>91</v>
      </c>
      <c r="K18" s="7" t="s">
        <v>91</v>
      </c>
      <c r="L18" s="7" t="s">
        <v>91</v>
      </c>
      <c r="M18" s="7" t="s">
        <v>91</v>
      </c>
      <c r="N18" s="7" t="s">
        <v>111</v>
      </c>
      <c r="O18" s="13"/>
      <c r="P18" s="13"/>
    </row>
    <row r="19" spans="1:16" ht="15" customHeight="1">
      <c r="A19" s="7">
        <v>16</v>
      </c>
      <c r="B19" s="4" t="s">
        <v>112</v>
      </c>
      <c r="C19" s="7" t="s">
        <v>90</v>
      </c>
      <c r="D19" s="7">
        <v>4</v>
      </c>
      <c r="E19" s="7">
        <v>2</v>
      </c>
      <c r="F19" s="7" t="s">
        <v>91</v>
      </c>
      <c r="G19" s="12" t="s">
        <v>92</v>
      </c>
      <c r="H19" s="7" t="s">
        <v>91</v>
      </c>
      <c r="I19" s="7" t="s">
        <v>91</v>
      </c>
      <c r="J19" s="7" t="s">
        <v>91</v>
      </c>
      <c r="K19" s="7" t="s">
        <v>91</v>
      </c>
      <c r="L19" s="7" t="s">
        <v>91</v>
      </c>
      <c r="M19" s="7" t="s">
        <v>91</v>
      </c>
      <c r="N19" s="7" t="s">
        <v>93</v>
      </c>
      <c r="O19" s="13"/>
      <c r="P19" s="13"/>
    </row>
    <row r="20" spans="1:16" ht="15" customHeight="1">
      <c r="A20" s="7">
        <v>17</v>
      </c>
      <c r="B20" s="4" t="s">
        <v>113</v>
      </c>
      <c r="C20" s="7" t="s">
        <v>96</v>
      </c>
      <c r="D20" s="7">
        <v>4</v>
      </c>
      <c r="E20" s="7">
        <v>2</v>
      </c>
      <c r="F20" s="7" t="s">
        <v>91</v>
      </c>
      <c r="G20" s="12" t="s">
        <v>92</v>
      </c>
      <c r="H20" s="7" t="s">
        <v>91</v>
      </c>
      <c r="I20" s="7" t="s">
        <v>91</v>
      </c>
      <c r="J20" s="7" t="s">
        <v>91</v>
      </c>
      <c r="K20" s="7" t="s">
        <v>91</v>
      </c>
      <c r="L20" s="7" t="s">
        <v>91</v>
      </c>
      <c r="M20" s="7" t="s">
        <v>91</v>
      </c>
      <c r="N20" s="7" t="s">
        <v>93</v>
      </c>
      <c r="O20" s="13"/>
      <c r="P20" s="13"/>
    </row>
    <row r="21" spans="1:16" ht="15" customHeight="1">
      <c r="A21" s="7">
        <v>18</v>
      </c>
      <c r="B21" s="4" t="s">
        <v>114</v>
      </c>
      <c r="C21" s="7" t="s">
        <v>105</v>
      </c>
      <c r="D21" s="7">
        <v>5</v>
      </c>
      <c r="E21" s="7">
        <v>3</v>
      </c>
      <c r="F21" s="7" t="s">
        <v>91</v>
      </c>
      <c r="G21" s="12" t="s">
        <v>92</v>
      </c>
      <c r="H21" s="7" t="s">
        <v>91</v>
      </c>
      <c r="I21" s="7" t="s">
        <v>91</v>
      </c>
      <c r="J21" s="7" t="s">
        <v>91</v>
      </c>
      <c r="K21" s="7" t="s">
        <v>91</v>
      </c>
      <c r="L21" s="7" t="s">
        <v>91</v>
      </c>
      <c r="M21" s="7" t="s">
        <v>91</v>
      </c>
      <c r="N21" s="7" t="s">
        <v>93</v>
      </c>
      <c r="O21" s="13"/>
      <c r="P21" s="13"/>
    </row>
    <row r="22" spans="1:16" ht="15" customHeight="1">
      <c r="A22" s="7">
        <v>19</v>
      </c>
      <c r="B22" s="4" t="s">
        <v>115</v>
      </c>
      <c r="C22" s="7" t="s">
        <v>90</v>
      </c>
      <c r="D22" s="7">
        <v>2</v>
      </c>
      <c r="E22" s="7">
        <v>1</v>
      </c>
      <c r="F22" s="7" t="s">
        <v>91</v>
      </c>
      <c r="G22" s="7" t="s">
        <v>91</v>
      </c>
      <c r="H22" s="7" t="s">
        <v>91</v>
      </c>
      <c r="I22" s="7" t="s">
        <v>91</v>
      </c>
      <c r="J22" s="7" t="s">
        <v>91</v>
      </c>
      <c r="K22" s="7" t="s">
        <v>91</v>
      </c>
      <c r="L22" s="12" t="s">
        <v>92</v>
      </c>
      <c r="M22" s="7" t="s">
        <v>91</v>
      </c>
      <c r="N22" s="7" t="s">
        <v>116</v>
      </c>
      <c r="O22" s="13"/>
      <c r="P22" s="13"/>
    </row>
    <row r="23" spans="1:16" ht="15" customHeight="1">
      <c r="A23" s="7">
        <v>20</v>
      </c>
      <c r="B23" s="4" t="s">
        <v>117</v>
      </c>
      <c r="C23" s="7" t="s">
        <v>90</v>
      </c>
      <c r="D23" s="7">
        <v>5</v>
      </c>
      <c r="E23" s="7">
        <v>3</v>
      </c>
      <c r="F23" s="7" t="s">
        <v>91</v>
      </c>
      <c r="G23" s="12" t="s">
        <v>92</v>
      </c>
      <c r="H23" s="7" t="s">
        <v>91</v>
      </c>
      <c r="I23" s="7" t="s">
        <v>91</v>
      </c>
      <c r="J23" s="7" t="s">
        <v>91</v>
      </c>
      <c r="K23" s="7" t="s">
        <v>91</v>
      </c>
      <c r="L23" s="7" t="s">
        <v>91</v>
      </c>
      <c r="M23" s="7" t="s">
        <v>91</v>
      </c>
      <c r="N23" s="7" t="s">
        <v>93</v>
      </c>
      <c r="O23" s="13"/>
      <c r="P23" s="13"/>
    </row>
    <row r="24" spans="1:16" ht="15" customHeight="1">
      <c r="A24" s="7">
        <v>21</v>
      </c>
      <c r="B24" s="4" t="s">
        <v>118</v>
      </c>
      <c r="C24" s="7" t="s">
        <v>96</v>
      </c>
      <c r="D24" s="7">
        <v>5</v>
      </c>
      <c r="E24" s="7">
        <v>3</v>
      </c>
      <c r="F24" s="7" t="s">
        <v>91</v>
      </c>
      <c r="G24" s="12" t="s">
        <v>92</v>
      </c>
      <c r="H24" s="7" t="s">
        <v>91</v>
      </c>
      <c r="I24" s="7" t="s">
        <v>91</v>
      </c>
      <c r="J24" s="7" t="s">
        <v>91</v>
      </c>
      <c r="K24" s="7" t="s">
        <v>91</v>
      </c>
      <c r="L24" s="7" t="s">
        <v>91</v>
      </c>
      <c r="M24" s="7" t="s">
        <v>91</v>
      </c>
      <c r="N24" s="7" t="s">
        <v>93</v>
      </c>
      <c r="O24" s="13"/>
      <c r="P24" s="13"/>
    </row>
    <row r="25" spans="1:16" ht="15" customHeight="1">
      <c r="A25" s="7">
        <v>22</v>
      </c>
      <c r="B25" s="4" t="s">
        <v>119</v>
      </c>
      <c r="C25" s="7" t="s">
        <v>105</v>
      </c>
      <c r="D25" s="7">
        <v>5</v>
      </c>
      <c r="E25" s="7">
        <v>3</v>
      </c>
      <c r="F25" s="7" t="s">
        <v>91</v>
      </c>
      <c r="G25" s="7" t="s">
        <v>91</v>
      </c>
      <c r="H25" s="7" t="s">
        <v>91</v>
      </c>
      <c r="I25" s="7" t="s">
        <v>91</v>
      </c>
      <c r="J25" s="7" t="s">
        <v>91</v>
      </c>
      <c r="K25" s="7" t="s">
        <v>91</v>
      </c>
      <c r="L25" s="7" t="s">
        <v>91</v>
      </c>
      <c r="M25" s="7" t="s">
        <v>91</v>
      </c>
      <c r="N25" s="7" t="s">
        <v>111</v>
      </c>
      <c r="O25" s="13"/>
      <c r="P25" s="13"/>
    </row>
    <row r="26" spans="1:16" ht="15" customHeight="1">
      <c r="A26" s="7">
        <v>23</v>
      </c>
      <c r="B26" s="4" t="s">
        <v>120</v>
      </c>
      <c r="C26" s="7" t="s">
        <v>90</v>
      </c>
      <c r="D26" s="7">
        <v>5</v>
      </c>
      <c r="E26" s="7">
        <v>3</v>
      </c>
      <c r="F26" s="7" t="s">
        <v>91</v>
      </c>
      <c r="G26" s="12" t="s">
        <v>92</v>
      </c>
      <c r="H26" s="7" t="s">
        <v>91</v>
      </c>
      <c r="I26" s="7" t="s">
        <v>91</v>
      </c>
      <c r="J26" s="7" t="s">
        <v>91</v>
      </c>
      <c r="K26" s="7" t="s">
        <v>91</v>
      </c>
      <c r="L26" s="7" t="s">
        <v>91</v>
      </c>
      <c r="M26" s="7" t="s">
        <v>91</v>
      </c>
      <c r="N26" s="7" t="s">
        <v>93</v>
      </c>
      <c r="O26" s="13"/>
      <c r="P26" s="13"/>
    </row>
    <row r="27" spans="1:16" ht="15" customHeight="1">
      <c r="A27" s="7">
        <v>24</v>
      </c>
      <c r="B27" s="4" t="s">
        <v>121</v>
      </c>
      <c r="C27" s="7" t="s">
        <v>90</v>
      </c>
      <c r="D27" s="7">
        <v>5</v>
      </c>
      <c r="E27" s="7">
        <v>3</v>
      </c>
      <c r="F27" s="7" t="s">
        <v>91</v>
      </c>
      <c r="G27" s="12" t="s">
        <v>92</v>
      </c>
      <c r="H27" s="7" t="s">
        <v>91</v>
      </c>
      <c r="I27" s="7" t="s">
        <v>91</v>
      </c>
      <c r="J27" s="7" t="s">
        <v>91</v>
      </c>
      <c r="K27" s="7" t="s">
        <v>91</v>
      </c>
      <c r="L27" s="7" t="s">
        <v>91</v>
      </c>
      <c r="M27" s="7" t="s">
        <v>91</v>
      </c>
      <c r="N27" s="7" t="s">
        <v>93</v>
      </c>
      <c r="O27" s="13"/>
      <c r="P27" s="13"/>
    </row>
    <row r="28" spans="1:16" ht="15" customHeight="1">
      <c r="A28" s="7">
        <v>25</v>
      </c>
      <c r="B28" s="4" t="s">
        <v>122</v>
      </c>
      <c r="C28" s="7" t="s">
        <v>96</v>
      </c>
      <c r="D28" s="7">
        <v>5</v>
      </c>
      <c r="E28" s="7">
        <v>3</v>
      </c>
      <c r="F28" s="7" t="s">
        <v>91</v>
      </c>
      <c r="G28" s="7" t="s">
        <v>91</v>
      </c>
      <c r="H28" s="7" t="s">
        <v>91</v>
      </c>
      <c r="I28" s="7" t="s">
        <v>91</v>
      </c>
      <c r="J28" s="7" t="s">
        <v>91</v>
      </c>
      <c r="K28" s="7" t="s">
        <v>91</v>
      </c>
      <c r="L28" s="7" t="s">
        <v>91</v>
      </c>
      <c r="M28" s="7" t="s">
        <v>91</v>
      </c>
      <c r="N28" s="7" t="s">
        <v>111</v>
      </c>
      <c r="O28" s="13"/>
      <c r="P28" s="13"/>
    </row>
    <row r="29" spans="1:16" ht="15" customHeight="1">
      <c r="A29" s="7">
        <v>26</v>
      </c>
      <c r="B29" s="4" t="s">
        <v>123</v>
      </c>
      <c r="C29" s="7" t="s">
        <v>105</v>
      </c>
      <c r="D29" s="7">
        <v>5</v>
      </c>
      <c r="E29" s="7">
        <v>3</v>
      </c>
      <c r="F29" s="7" t="s">
        <v>91</v>
      </c>
      <c r="G29" s="12" t="s">
        <v>92</v>
      </c>
      <c r="H29" s="7" t="s">
        <v>91</v>
      </c>
      <c r="I29" s="7" t="s">
        <v>91</v>
      </c>
      <c r="J29" s="7" t="s">
        <v>91</v>
      </c>
      <c r="K29" s="7" t="s">
        <v>91</v>
      </c>
      <c r="L29" s="7" t="s">
        <v>91</v>
      </c>
      <c r="M29" s="7" t="s">
        <v>91</v>
      </c>
      <c r="N29" s="7" t="s">
        <v>93</v>
      </c>
      <c r="O29" s="13"/>
      <c r="P29" s="13"/>
    </row>
    <row r="30" spans="1:16" ht="15" customHeight="1">
      <c r="A30" s="7">
        <v>27</v>
      </c>
      <c r="B30" s="4" t="s">
        <v>124</v>
      </c>
      <c r="C30" s="7" t="s">
        <v>90</v>
      </c>
      <c r="D30" s="7">
        <v>5</v>
      </c>
      <c r="E30" s="7">
        <v>3</v>
      </c>
      <c r="F30" s="7" t="s">
        <v>91</v>
      </c>
      <c r="G30" s="12" t="s">
        <v>92</v>
      </c>
      <c r="H30" s="7" t="s">
        <v>91</v>
      </c>
      <c r="I30" s="7" t="s">
        <v>91</v>
      </c>
      <c r="J30" s="7" t="s">
        <v>91</v>
      </c>
      <c r="K30" s="7" t="s">
        <v>91</v>
      </c>
      <c r="L30" s="7" t="s">
        <v>91</v>
      </c>
      <c r="M30" s="7" t="s">
        <v>91</v>
      </c>
      <c r="N30" s="7" t="s">
        <v>93</v>
      </c>
      <c r="O30" s="13"/>
      <c r="P30" s="13"/>
    </row>
    <row r="31" spans="1:16" ht="15" customHeight="1">
      <c r="A31" s="7">
        <v>28</v>
      </c>
      <c r="B31" s="4" t="s">
        <v>125</v>
      </c>
      <c r="C31" s="7" t="s">
        <v>96</v>
      </c>
      <c r="D31" s="7">
        <v>5</v>
      </c>
      <c r="E31" s="7">
        <v>3</v>
      </c>
      <c r="F31" s="7" t="s">
        <v>91</v>
      </c>
      <c r="G31" s="7" t="s">
        <v>91</v>
      </c>
      <c r="H31" s="7" t="s">
        <v>91</v>
      </c>
      <c r="I31" s="7" t="s">
        <v>91</v>
      </c>
      <c r="J31" s="7" t="s">
        <v>91</v>
      </c>
      <c r="K31" s="7" t="s">
        <v>91</v>
      </c>
      <c r="L31" s="7" t="s">
        <v>91</v>
      </c>
      <c r="M31" s="7" t="s">
        <v>91</v>
      </c>
      <c r="N31" s="7" t="s">
        <v>111</v>
      </c>
      <c r="O31" s="13"/>
      <c r="P31" s="13"/>
    </row>
    <row r="32" spans="1:16" ht="15" customHeight="1">
      <c r="A32" s="7">
        <v>29</v>
      </c>
      <c r="B32" s="4" t="s">
        <v>126</v>
      </c>
      <c r="C32" s="7" t="s">
        <v>96</v>
      </c>
      <c r="D32" s="7">
        <v>5</v>
      </c>
      <c r="E32" s="7">
        <v>3</v>
      </c>
      <c r="F32" s="7" t="s">
        <v>91</v>
      </c>
      <c r="G32" s="7" t="s">
        <v>91</v>
      </c>
      <c r="H32" s="7" t="s">
        <v>91</v>
      </c>
      <c r="I32" s="7" t="s">
        <v>91</v>
      </c>
      <c r="J32" s="7" t="s">
        <v>91</v>
      </c>
      <c r="K32" s="7" t="s">
        <v>91</v>
      </c>
      <c r="L32" s="7" t="s">
        <v>91</v>
      </c>
      <c r="M32" s="7" t="s">
        <v>91</v>
      </c>
      <c r="N32" s="7" t="s">
        <v>111</v>
      </c>
      <c r="O32" s="13"/>
      <c r="P32" s="13"/>
    </row>
    <row r="33" spans="1:16" ht="15" customHeight="1">
      <c r="A33" s="7">
        <v>30</v>
      </c>
      <c r="B33" s="4" t="s">
        <v>127</v>
      </c>
      <c r="C33" s="7" t="s">
        <v>105</v>
      </c>
      <c r="D33" s="7">
        <v>5</v>
      </c>
      <c r="E33" s="7">
        <v>3</v>
      </c>
      <c r="F33" s="7" t="s">
        <v>91</v>
      </c>
      <c r="G33" s="12" t="s">
        <v>92</v>
      </c>
      <c r="H33" s="7" t="s">
        <v>91</v>
      </c>
      <c r="I33" s="7" t="s">
        <v>91</v>
      </c>
      <c r="J33" s="7" t="s">
        <v>91</v>
      </c>
      <c r="K33" s="7" t="s">
        <v>91</v>
      </c>
      <c r="L33" s="7" t="s">
        <v>91</v>
      </c>
      <c r="M33" s="7" t="s">
        <v>91</v>
      </c>
      <c r="N33" s="7" t="s">
        <v>93</v>
      </c>
      <c r="O33" s="13"/>
      <c r="P33" s="13"/>
    </row>
    <row r="34" spans="1:1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5" customHeight="1">
      <c r="A35" s="4"/>
      <c r="B35" s="6" t="s">
        <v>128</v>
      </c>
      <c r="C35" s="4"/>
      <c r="D35" s="4"/>
      <c r="E35" s="4"/>
      <c r="F35" s="14">
        <f>COUNTA(B4:B33)</f>
        <v>30</v>
      </c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5" customHeight="1">
      <c r="A36" s="4"/>
      <c r="B36" s="6" t="s">
        <v>129</v>
      </c>
      <c r="C36" s="4"/>
      <c r="D36" s="4"/>
      <c r="E36" s="4"/>
      <c r="F36" s="14">
        <f>COUNTIF(F4:F33,"WARN")+COUNTIF(F4:F33,"ERROR")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5" customHeight="1">
      <c r="A37" s="4"/>
      <c r="B37" s="6" t="s">
        <v>130</v>
      </c>
      <c r="C37" s="4"/>
      <c r="D37" s="4"/>
      <c r="E37" s="4"/>
      <c r="F37" s="14">
        <f>COUNTIF(G4:G33,"WARN")+COUNTIF(G4:G33,"ERROR")</f>
        <v>24</v>
      </c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5" customHeight="1">
      <c r="A38" s="4"/>
      <c r="B38" s="6" t="s">
        <v>131</v>
      </c>
      <c r="C38" s="4"/>
      <c r="D38" s="4"/>
      <c r="E38" s="4"/>
      <c r="F38" s="14">
        <f>COUNTIF(H4:H33,"WARN")+COUNTIF(H4:H33,"ERROR")</f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5" customHeight="1">
      <c r="A39" s="4"/>
      <c r="B39" s="6" t="s">
        <v>132</v>
      </c>
      <c r="C39" s="4"/>
      <c r="D39" s="4"/>
      <c r="E39" s="4"/>
      <c r="F39" s="14">
        <f>COUNTIF(I4:I33,"WARN")+COUNTIF(I4:I33,"ERROR")</f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5" customHeight="1">
      <c r="A40" s="4"/>
      <c r="B40" s="6" t="s">
        <v>133</v>
      </c>
      <c r="C40" s="4"/>
      <c r="D40" s="4"/>
      <c r="E40" s="4"/>
      <c r="F40" s="14">
        <f>COUNTIF(J4:J33,"WARN")+COUNTIF(J4:J33,"ERROR")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6.45" customHeight="1">
      <c r="A41" s="4"/>
      <c r="B41" s="6" t="s">
        <v>134</v>
      </c>
      <c r="C41" s="4"/>
      <c r="D41" s="4"/>
      <c r="E41" s="4"/>
      <c r="F41" s="14">
        <f>COUNTIF(K4:K33,"WARN")+COUNTIF(K4:K33,"ERROR")</f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5" customHeight="1">
      <c r="A42" s="4"/>
      <c r="B42" s="6" t="s">
        <v>135</v>
      </c>
      <c r="C42" s="4"/>
      <c r="D42" s="4"/>
      <c r="E42" s="4"/>
      <c r="F42" s="14">
        <f>COUNTIF(L4:L33,"WARN")+COUNTIF(L4:L33,"ERROR")</f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5" customHeight="1">
      <c r="A43" s="4"/>
      <c r="B43" s="6" t="s">
        <v>136</v>
      </c>
      <c r="C43" s="4"/>
      <c r="D43" s="4"/>
      <c r="E43" s="4"/>
      <c r="F43" s="14">
        <f>COUNTIF(M4:M33,"WARN")+COUNTIF(M4:M33,"ERROR")</f>
        <v>0</v>
      </c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66" customHeight="1">
      <c r="A45" s="4"/>
      <c r="B45" s="17" t="s">
        <v>137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mergeCells count="2">
    <mergeCell ref="A1:P1"/>
    <mergeCell ref="A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/>
  </sheetViews>
  <sheetFormatPr defaultColWidth="8.7109375" defaultRowHeight="15"/>
  <cols>
    <col min="1" max="1" width="6" style="1" customWidth="1"/>
    <col min="2" max="2" width="30" style="1" customWidth="1"/>
    <col min="3" max="3" width="22" style="1" customWidth="1"/>
    <col min="4" max="4" width="18" style="1" customWidth="1"/>
    <col min="5" max="6" width="10" style="1" customWidth="1"/>
    <col min="7" max="8" width="11" style="1" customWidth="1"/>
    <col min="9" max="9" width="22" style="1" customWidth="1"/>
    <col min="10" max="16384" width="8.7109375" style="1"/>
  </cols>
  <sheetData>
    <row r="1" spans="1:9" ht="15" customHeight="1">
      <c r="A1" s="38" t="s">
        <v>138</v>
      </c>
      <c r="B1" s="38"/>
      <c r="C1" s="38"/>
      <c r="D1" s="38"/>
      <c r="E1" s="38"/>
      <c r="F1" s="38"/>
      <c r="G1" s="38"/>
      <c r="H1" s="38"/>
      <c r="I1" s="38"/>
    </row>
    <row r="2" spans="1:9" ht="15" customHeight="1">
      <c r="A2" s="39" t="s">
        <v>139</v>
      </c>
      <c r="B2" s="39"/>
      <c r="C2" s="39"/>
      <c r="D2" s="39"/>
      <c r="E2" s="39"/>
      <c r="F2" s="39"/>
      <c r="G2" s="39"/>
      <c r="H2" s="39"/>
      <c r="I2" s="39"/>
    </row>
    <row r="3" spans="1:9" ht="15" customHeight="1">
      <c r="A3" s="2" t="s">
        <v>73</v>
      </c>
      <c r="B3" s="2" t="s">
        <v>74</v>
      </c>
      <c r="C3" s="2" t="s">
        <v>140</v>
      </c>
      <c r="D3" s="2" t="s">
        <v>141</v>
      </c>
      <c r="E3" s="2" t="s">
        <v>142</v>
      </c>
      <c r="F3" s="2" t="s">
        <v>143</v>
      </c>
      <c r="G3" s="2" t="s">
        <v>144</v>
      </c>
      <c r="H3" s="2" t="s">
        <v>145</v>
      </c>
      <c r="I3" s="2" t="s">
        <v>146</v>
      </c>
    </row>
    <row r="4" spans="1:9" ht="15" customHeight="1">
      <c r="A4" s="7">
        <v>1</v>
      </c>
      <c r="B4" s="4" t="s">
        <v>89</v>
      </c>
      <c r="C4" s="4" t="s">
        <v>147</v>
      </c>
      <c r="D4" s="8" t="s">
        <v>148</v>
      </c>
      <c r="E4" s="7">
        <v>4</v>
      </c>
      <c r="F4" s="7">
        <v>4</v>
      </c>
      <c r="G4" s="7">
        <v>2</v>
      </c>
      <c r="H4" s="7">
        <v>2</v>
      </c>
      <c r="I4" s="7">
        <v>12</v>
      </c>
    </row>
    <row r="5" spans="1:9" ht="15" customHeight="1">
      <c r="A5" s="7">
        <v>2</v>
      </c>
      <c r="B5" s="4" t="s">
        <v>94</v>
      </c>
      <c r="C5" s="4" t="s">
        <v>147</v>
      </c>
      <c r="D5" s="8" t="s">
        <v>148</v>
      </c>
      <c r="E5" s="7">
        <v>4</v>
      </c>
      <c r="F5" s="7">
        <v>4</v>
      </c>
      <c r="G5" s="7">
        <v>2</v>
      </c>
      <c r="H5" s="7">
        <v>2</v>
      </c>
      <c r="I5" s="7">
        <v>11</v>
      </c>
    </row>
    <row r="6" spans="1:9" ht="15" customHeight="1">
      <c r="A6" s="7">
        <v>3</v>
      </c>
      <c r="B6" s="4" t="s">
        <v>95</v>
      </c>
      <c r="C6" s="4" t="s">
        <v>147</v>
      </c>
      <c r="D6" s="8" t="s">
        <v>148</v>
      </c>
      <c r="E6" s="7">
        <v>3</v>
      </c>
      <c r="F6" s="7">
        <v>3</v>
      </c>
      <c r="G6" s="7">
        <v>1</v>
      </c>
      <c r="H6" s="7">
        <v>1</v>
      </c>
      <c r="I6" s="7">
        <v>11</v>
      </c>
    </row>
    <row r="7" spans="1:9" ht="15" customHeight="1">
      <c r="A7" s="7">
        <v>4</v>
      </c>
      <c r="B7" s="4" t="s">
        <v>98</v>
      </c>
      <c r="C7" s="4" t="s">
        <v>147</v>
      </c>
      <c r="D7" s="8" t="s">
        <v>148</v>
      </c>
      <c r="E7" s="7">
        <v>3</v>
      </c>
      <c r="F7" s="7">
        <v>3</v>
      </c>
      <c r="G7" s="7">
        <v>1</v>
      </c>
      <c r="H7" s="7">
        <v>1</v>
      </c>
      <c r="I7" s="7">
        <v>11</v>
      </c>
    </row>
    <row r="8" spans="1:9" ht="15" customHeight="1">
      <c r="A8" s="7">
        <v>5</v>
      </c>
      <c r="B8" s="4" t="s">
        <v>99</v>
      </c>
      <c r="C8" s="4" t="s">
        <v>147</v>
      </c>
      <c r="D8" s="8" t="s">
        <v>148</v>
      </c>
      <c r="E8" s="7">
        <v>4</v>
      </c>
      <c r="F8" s="7">
        <v>4</v>
      </c>
      <c r="G8" s="7">
        <v>2</v>
      </c>
      <c r="H8" s="7">
        <v>2</v>
      </c>
      <c r="I8" s="7">
        <v>11</v>
      </c>
    </row>
    <row r="9" spans="1:9" ht="15" customHeight="1">
      <c r="A9" s="7">
        <v>6</v>
      </c>
      <c r="B9" s="4" t="s">
        <v>100</v>
      </c>
      <c r="C9" s="4" t="s">
        <v>147</v>
      </c>
      <c r="D9" s="8" t="s">
        <v>148</v>
      </c>
      <c r="E9" s="7">
        <v>4</v>
      </c>
      <c r="F9" s="7">
        <v>4</v>
      </c>
      <c r="G9" s="7">
        <v>2</v>
      </c>
      <c r="H9" s="7">
        <v>2</v>
      </c>
      <c r="I9" s="7">
        <v>11</v>
      </c>
    </row>
    <row r="10" spans="1:9" ht="15" customHeight="1">
      <c r="A10" s="7">
        <v>7</v>
      </c>
      <c r="B10" s="4" t="s">
        <v>101</v>
      </c>
      <c r="C10" s="4" t="s">
        <v>147</v>
      </c>
      <c r="D10" s="8" t="s">
        <v>148</v>
      </c>
      <c r="E10" s="7">
        <v>4</v>
      </c>
      <c r="F10" s="7">
        <v>4</v>
      </c>
      <c r="G10" s="7">
        <v>2</v>
      </c>
      <c r="H10" s="7">
        <v>2</v>
      </c>
      <c r="I10" s="7">
        <v>11</v>
      </c>
    </row>
    <row r="11" spans="1:9" ht="15" customHeight="1">
      <c r="A11" s="7">
        <v>8</v>
      </c>
      <c r="B11" s="4" t="s">
        <v>102</v>
      </c>
      <c r="C11" s="4" t="s">
        <v>147</v>
      </c>
      <c r="D11" s="8" t="s">
        <v>148</v>
      </c>
      <c r="E11" s="7">
        <v>4</v>
      </c>
      <c r="F11" s="7">
        <v>4</v>
      </c>
      <c r="G11" s="7">
        <v>2</v>
      </c>
      <c r="H11" s="7">
        <v>2</v>
      </c>
      <c r="I11" s="7">
        <v>11</v>
      </c>
    </row>
    <row r="12" spans="1:9" ht="15" customHeight="1">
      <c r="A12" s="7">
        <v>9</v>
      </c>
      <c r="B12" s="4" t="s">
        <v>103</v>
      </c>
      <c r="C12" s="4" t="s">
        <v>147</v>
      </c>
      <c r="D12" s="8" t="s">
        <v>148</v>
      </c>
      <c r="E12" s="7">
        <v>4</v>
      </c>
      <c r="F12" s="7">
        <v>4</v>
      </c>
      <c r="G12" s="7">
        <v>2</v>
      </c>
      <c r="H12" s="7">
        <v>2</v>
      </c>
      <c r="I12" s="7">
        <v>11</v>
      </c>
    </row>
    <row r="13" spans="1:9" ht="15" customHeight="1">
      <c r="A13" s="7">
        <v>10</v>
      </c>
      <c r="B13" s="4" t="s">
        <v>104</v>
      </c>
      <c r="C13" s="4" t="s">
        <v>147</v>
      </c>
      <c r="D13" s="8" t="s">
        <v>148</v>
      </c>
      <c r="E13" s="7">
        <v>4</v>
      </c>
      <c r="F13" s="7">
        <v>4</v>
      </c>
      <c r="G13" s="7">
        <v>2</v>
      </c>
      <c r="H13" s="7">
        <v>2</v>
      </c>
      <c r="I13" s="7">
        <v>11</v>
      </c>
    </row>
    <row r="14" spans="1:9" ht="15" customHeight="1">
      <c r="A14" s="7">
        <v>11</v>
      </c>
      <c r="B14" s="4" t="s">
        <v>106</v>
      </c>
      <c r="C14" s="4" t="s">
        <v>149</v>
      </c>
      <c r="D14" s="8" t="s">
        <v>148</v>
      </c>
      <c r="E14" s="7">
        <v>4</v>
      </c>
      <c r="F14" s="7">
        <v>4</v>
      </c>
      <c r="G14" s="7">
        <v>2</v>
      </c>
      <c r="H14" s="7">
        <v>2</v>
      </c>
      <c r="I14" s="7">
        <v>12</v>
      </c>
    </row>
    <row r="15" spans="1:9" ht="15" customHeight="1">
      <c r="A15" s="7">
        <v>12</v>
      </c>
      <c r="B15" s="4" t="s">
        <v>107</v>
      </c>
      <c r="C15" s="4" t="s">
        <v>149</v>
      </c>
      <c r="D15" s="8" t="s">
        <v>148</v>
      </c>
      <c r="E15" s="7">
        <v>5</v>
      </c>
      <c r="F15" s="7">
        <v>5</v>
      </c>
      <c r="G15" s="7">
        <v>3</v>
      </c>
      <c r="H15" s="7">
        <v>3</v>
      </c>
      <c r="I15" s="7">
        <v>11</v>
      </c>
    </row>
    <row r="16" spans="1:9" ht="15" customHeight="1">
      <c r="A16" s="7">
        <v>13</v>
      </c>
      <c r="B16" s="4" t="s">
        <v>108</v>
      </c>
      <c r="C16" s="4" t="s">
        <v>149</v>
      </c>
      <c r="D16" s="8" t="s">
        <v>148</v>
      </c>
      <c r="E16" s="7">
        <v>5</v>
      </c>
      <c r="F16" s="7">
        <v>5</v>
      </c>
      <c r="G16" s="7">
        <v>3</v>
      </c>
      <c r="H16" s="7">
        <v>3</v>
      </c>
      <c r="I16" s="7">
        <v>11</v>
      </c>
    </row>
    <row r="17" spans="1:9" ht="15" customHeight="1">
      <c r="A17" s="7">
        <v>14</v>
      </c>
      <c r="B17" s="4" t="s">
        <v>109</v>
      </c>
      <c r="C17" s="4" t="s">
        <v>149</v>
      </c>
      <c r="D17" s="8" t="s">
        <v>148</v>
      </c>
      <c r="E17" s="7">
        <v>4</v>
      </c>
      <c r="F17" s="7">
        <v>4</v>
      </c>
      <c r="G17" s="7">
        <v>2</v>
      </c>
      <c r="H17" s="7">
        <v>2</v>
      </c>
      <c r="I17" s="7">
        <v>11</v>
      </c>
    </row>
    <row r="18" spans="1:9" ht="15" customHeight="1">
      <c r="A18" s="7">
        <v>15</v>
      </c>
      <c r="B18" s="4" t="s">
        <v>110</v>
      </c>
      <c r="C18" s="4" t="s">
        <v>149</v>
      </c>
      <c r="D18" s="8" t="s">
        <v>148</v>
      </c>
      <c r="E18" s="7">
        <v>5</v>
      </c>
      <c r="F18" s="7">
        <v>5</v>
      </c>
      <c r="G18" s="7">
        <v>3</v>
      </c>
      <c r="H18" s="7">
        <v>3</v>
      </c>
      <c r="I18" s="7">
        <v>12</v>
      </c>
    </row>
    <row r="19" spans="1:9" ht="15" customHeight="1">
      <c r="A19" s="7">
        <v>16</v>
      </c>
      <c r="B19" s="4" t="s">
        <v>112</v>
      </c>
      <c r="C19" s="4" t="s">
        <v>149</v>
      </c>
      <c r="D19" s="8" t="s">
        <v>148</v>
      </c>
      <c r="E19" s="7">
        <v>4</v>
      </c>
      <c r="F19" s="7">
        <v>4</v>
      </c>
      <c r="G19" s="7">
        <v>2</v>
      </c>
      <c r="H19" s="7">
        <v>2</v>
      </c>
      <c r="I19" s="7">
        <v>11</v>
      </c>
    </row>
    <row r="20" spans="1:9" ht="15" customHeight="1">
      <c r="A20" s="7">
        <v>17</v>
      </c>
      <c r="B20" s="4" t="s">
        <v>113</v>
      </c>
      <c r="C20" s="4" t="s">
        <v>149</v>
      </c>
      <c r="D20" s="8" t="s">
        <v>148</v>
      </c>
      <c r="E20" s="7">
        <v>4</v>
      </c>
      <c r="F20" s="7">
        <v>4</v>
      </c>
      <c r="G20" s="7">
        <v>2</v>
      </c>
      <c r="H20" s="7">
        <v>2</v>
      </c>
      <c r="I20" s="7">
        <v>12</v>
      </c>
    </row>
    <row r="21" spans="1:9" ht="15" customHeight="1">
      <c r="A21" s="7">
        <v>18</v>
      </c>
      <c r="B21" s="4" t="s">
        <v>114</v>
      </c>
      <c r="C21" s="4" t="s">
        <v>149</v>
      </c>
      <c r="D21" s="8" t="s">
        <v>148</v>
      </c>
      <c r="E21" s="7">
        <v>5</v>
      </c>
      <c r="F21" s="7">
        <v>5</v>
      </c>
      <c r="G21" s="7">
        <v>3</v>
      </c>
      <c r="H21" s="7">
        <v>3</v>
      </c>
      <c r="I21" s="7">
        <v>11</v>
      </c>
    </row>
    <row r="22" spans="1:9" ht="15" customHeight="1">
      <c r="A22" s="7">
        <v>19</v>
      </c>
      <c r="B22" s="4" t="s">
        <v>115</v>
      </c>
      <c r="C22" s="4" t="s">
        <v>149</v>
      </c>
      <c r="D22" s="8" t="s">
        <v>148</v>
      </c>
      <c r="E22" s="7">
        <v>2</v>
      </c>
      <c r="F22" s="7">
        <v>2</v>
      </c>
      <c r="G22" s="7">
        <v>1</v>
      </c>
      <c r="H22" s="7">
        <v>1</v>
      </c>
      <c r="I22" s="7">
        <v>11</v>
      </c>
    </row>
    <row r="23" spans="1:9" ht="15" customHeight="1">
      <c r="A23" s="7">
        <v>20</v>
      </c>
      <c r="B23" s="4" t="s">
        <v>117</v>
      </c>
      <c r="C23" s="4" t="s">
        <v>149</v>
      </c>
      <c r="D23" s="8" t="s">
        <v>148</v>
      </c>
      <c r="E23" s="7">
        <v>5</v>
      </c>
      <c r="F23" s="7">
        <v>5</v>
      </c>
      <c r="G23" s="7">
        <v>3</v>
      </c>
      <c r="H23" s="7">
        <v>3</v>
      </c>
      <c r="I23" s="7">
        <v>11</v>
      </c>
    </row>
    <row r="24" spans="1:9" ht="15" customHeight="1">
      <c r="A24" s="7">
        <v>21</v>
      </c>
      <c r="B24" s="4" t="s">
        <v>118</v>
      </c>
      <c r="C24" s="4" t="s">
        <v>149</v>
      </c>
      <c r="D24" s="8" t="s">
        <v>148</v>
      </c>
      <c r="E24" s="7">
        <v>5</v>
      </c>
      <c r="F24" s="7">
        <v>5</v>
      </c>
      <c r="G24" s="7">
        <v>3</v>
      </c>
      <c r="H24" s="7">
        <v>3</v>
      </c>
      <c r="I24" s="7">
        <v>11</v>
      </c>
    </row>
    <row r="25" spans="1:9" ht="15" customHeight="1">
      <c r="A25" s="7">
        <v>22</v>
      </c>
      <c r="B25" s="4" t="s">
        <v>119</v>
      </c>
      <c r="C25" s="4" t="s">
        <v>149</v>
      </c>
      <c r="D25" s="8" t="s">
        <v>148</v>
      </c>
      <c r="E25" s="7">
        <v>5</v>
      </c>
      <c r="F25" s="7">
        <v>5</v>
      </c>
      <c r="G25" s="7">
        <v>3</v>
      </c>
      <c r="H25" s="7">
        <v>3</v>
      </c>
      <c r="I25" s="7">
        <v>11</v>
      </c>
    </row>
    <row r="26" spans="1:9" ht="15" customHeight="1">
      <c r="A26" s="7">
        <v>23</v>
      </c>
      <c r="B26" s="4" t="s">
        <v>120</v>
      </c>
      <c r="C26" s="4" t="s">
        <v>149</v>
      </c>
      <c r="D26" s="8" t="s">
        <v>148</v>
      </c>
      <c r="E26" s="7">
        <v>5</v>
      </c>
      <c r="F26" s="7">
        <v>5</v>
      </c>
      <c r="G26" s="7">
        <v>3</v>
      </c>
      <c r="H26" s="7">
        <v>3</v>
      </c>
      <c r="I26" s="7">
        <v>11</v>
      </c>
    </row>
    <row r="27" spans="1:9" ht="15" customHeight="1">
      <c r="A27" s="7">
        <v>24</v>
      </c>
      <c r="B27" s="4" t="s">
        <v>121</v>
      </c>
      <c r="C27" s="4" t="s">
        <v>149</v>
      </c>
      <c r="D27" s="8" t="s">
        <v>148</v>
      </c>
      <c r="E27" s="7">
        <v>5</v>
      </c>
      <c r="F27" s="7">
        <v>5</v>
      </c>
      <c r="G27" s="7">
        <v>3</v>
      </c>
      <c r="H27" s="7">
        <v>3</v>
      </c>
      <c r="I27" s="7">
        <v>12</v>
      </c>
    </row>
    <row r="28" spans="1:9" ht="15" customHeight="1">
      <c r="A28" s="7">
        <v>25</v>
      </c>
      <c r="B28" s="4" t="s">
        <v>122</v>
      </c>
      <c r="C28" s="4" t="s">
        <v>149</v>
      </c>
      <c r="D28" s="8" t="s">
        <v>148</v>
      </c>
      <c r="E28" s="7">
        <v>5</v>
      </c>
      <c r="F28" s="7">
        <v>5</v>
      </c>
      <c r="G28" s="7">
        <v>3</v>
      </c>
      <c r="H28" s="7">
        <v>3</v>
      </c>
      <c r="I28" s="7">
        <v>12</v>
      </c>
    </row>
    <row r="29" spans="1:9" ht="15" customHeight="1">
      <c r="A29" s="7">
        <v>26</v>
      </c>
      <c r="B29" s="4" t="s">
        <v>123</v>
      </c>
      <c r="C29" s="4" t="s">
        <v>149</v>
      </c>
      <c r="D29" s="8" t="s">
        <v>148</v>
      </c>
      <c r="E29" s="7">
        <v>5</v>
      </c>
      <c r="F29" s="7">
        <v>5</v>
      </c>
      <c r="G29" s="7">
        <v>3</v>
      </c>
      <c r="H29" s="7">
        <v>3</v>
      </c>
      <c r="I29" s="7">
        <v>11</v>
      </c>
    </row>
    <row r="30" spans="1:9" ht="15" customHeight="1">
      <c r="A30" s="7">
        <v>27</v>
      </c>
      <c r="B30" s="4" t="s">
        <v>124</v>
      </c>
      <c r="C30" s="4" t="s">
        <v>149</v>
      </c>
      <c r="D30" s="8" t="s">
        <v>148</v>
      </c>
      <c r="E30" s="7">
        <v>5</v>
      </c>
      <c r="F30" s="7">
        <v>5</v>
      </c>
      <c r="G30" s="7">
        <v>3</v>
      </c>
      <c r="H30" s="7">
        <v>3</v>
      </c>
      <c r="I30" s="7">
        <v>11</v>
      </c>
    </row>
    <row r="31" spans="1:9" ht="15" customHeight="1">
      <c r="A31" s="7">
        <v>28</v>
      </c>
      <c r="B31" s="4" t="s">
        <v>125</v>
      </c>
      <c r="C31" s="4" t="s">
        <v>149</v>
      </c>
      <c r="D31" s="8" t="s">
        <v>148</v>
      </c>
      <c r="E31" s="7">
        <v>5</v>
      </c>
      <c r="F31" s="7">
        <v>5</v>
      </c>
      <c r="G31" s="7">
        <v>3</v>
      </c>
      <c r="H31" s="7">
        <v>3</v>
      </c>
      <c r="I31" s="7">
        <v>11</v>
      </c>
    </row>
    <row r="32" spans="1:9" ht="15" customHeight="1">
      <c r="A32" s="7">
        <v>29</v>
      </c>
      <c r="B32" s="4" t="s">
        <v>126</v>
      </c>
      <c r="C32" s="4" t="s">
        <v>149</v>
      </c>
      <c r="D32" s="8" t="s">
        <v>148</v>
      </c>
      <c r="E32" s="7">
        <v>5</v>
      </c>
      <c r="F32" s="7">
        <v>5</v>
      </c>
      <c r="G32" s="7">
        <v>3</v>
      </c>
      <c r="H32" s="7">
        <v>3</v>
      </c>
      <c r="I32" s="7">
        <v>11</v>
      </c>
    </row>
    <row r="33" spans="1:9" ht="15" customHeight="1">
      <c r="A33" s="7">
        <v>30</v>
      </c>
      <c r="B33" s="4" t="s">
        <v>127</v>
      </c>
      <c r="C33" s="4" t="s">
        <v>149</v>
      </c>
      <c r="D33" s="8" t="s">
        <v>148</v>
      </c>
      <c r="E33" s="7">
        <v>5</v>
      </c>
      <c r="F33" s="7">
        <v>5</v>
      </c>
      <c r="G33" s="7">
        <v>3</v>
      </c>
      <c r="H33" s="7">
        <v>3</v>
      </c>
      <c r="I33" s="7">
        <v>11</v>
      </c>
    </row>
    <row r="34" spans="1:9" ht="15" customHeight="1">
      <c r="A34" s="4"/>
      <c r="B34" s="4"/>
      <c r="C34" s="4"/>
      <c r="D34" s="4"/>
      <c r="E34" s="4"/>
      <c r="F34" s="4"/>
      <c r="G34" s="4"/>
      <c r="H34" s="4"/>
      <c r="I34" s="4"/>
    </row>
    <row r="35" spans="1:9" ht="15" customHeight="1">
      <c r="A35" s="4"/>
      <c r="B35" s="6" t="s">
        <v>150</v>
      </c>
      <c r="C35" s="4"/>
      <c r="D35" s="14">
        <f>COUNTA(D4:D33)</f>
        <v>30</v>
      </c>
      <c r="E35" s="4"/>
      <c r="F35" s="4"/>
      <c r="G35" s="4"/>
      <c r="H35" s="4"/>
      <c r="I35" s="4"/>
    </row>
    <row r="36" spans="1:9" ht="15" customHeight="1">
      <c r="A36" s="4"/>
      <c r="B36" s="6" t="s">
        <v>151</v>
      </c>
      <c r="C36" s="4"/>
      <c r="D36" s="14">
        <f>COUNTIF(D4:D33,"AC")</f>
        <v>30</v>
      </c>
      <c r="E36" s="4"/>
      <c r="F36" s="4"/>
      <c r="G36" s="4"/>
      <c r="H36" s="4"/>
      <c r="I36" s="4"/>
    </row>
    <row r="37" spans="1:9" ht="15" customHeight="1">
      <c r="A37" s="4"/>
      <c r="B37" s="6" t="s">
        <v>152</v>
      </c>
      <c r="C37" s="4"/>
      <c r="D37" s="15">
        <f>IF(D35=0,0,D36/D35)</f>
        <v>1</v>
      </c>
      <c r="E37" s="4"/>
      <c r="F37" s="4"/>
      <c r="G37" s="4"/>
      <c r="H37" s="4"/>
      <c r="I37" s="4"/>
    </row>
    <row r="38" spans="1:9" ht="15" customHeight="1">
      <c r="A38" s="4"/>
      <c r="B38" s="6" t="s">
        <v>146</v>
      </c>
      <c r="C38" s="4"/>
      <c r="D38" s="14">
        <f>MAX(I4:I33)</f>
        <v>12</v>
      </c>
      <c r="E38" s="4"/>
      <c r="F38" s="4"/>
      <c r="G38" s="4"/>
      <c r="H38" s="4"/>
      <c r="I38" s="4"/>
    </row>
    <row r="39" spans="1:9" ht="26.45" customHeight="1">
      <c r="A39" s="4"/>
      <c r="B39" s="6" t="s">
        <v>153</v>
      </c>
      <c r="C39" s="4"/>
      <c r="D39" s="6" t="str">
        <f>IF(D36=D35,"Reference = AC, được phép làm mutation","STOP - reference chưa AC")</f>
        <v>Reference = AC, được phép làm mutation</v>
      </c>
      <c r="E39" s="4"/>
      <c r="F39" s="4"/>
      <c r="G39" s="4"/>
      <c r="H39" s="4"/>
      <c r="I39" s="4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showGridLines="0" workbookViewId="0"/>
  </sheetViews>
  <sheetFormatPr defaultColWidth="8.7109375" defaultRowHeight="15"/>
  <cols>
    <col min="1" max="1" width="11" style="1" customWidth="1"/>
    <col min="2" max="2" width="25" style="1" customWidth="1"/>
    <col min="3" max="3" width="22" style="1" customWidth="1"/>
    <col min="4" max="4" width="42" style="1" customWidth="1"/>
    <col min="5" max="5" width="15" style="1" customWidth="1"/>
    <col min="6" max="7" width="50" style="1" customWidth="1"/>
    <col min="8" max="16384" width="8.7109375" style="1"/>
  </cols>
  <sheetData>
    <row r="1" spans="1:7" ht="15" customHeight="1">
      <c r="A1" s="38" t="s">
        <v>154</v>
      </c>
      <c r="B1" s="38"/>
      <c r="C1" s="38"/>
      <c r="D1" s="38"/>
      <c r="E1" s="38"/>
      <c r="F1" s="38"/>
      <c r="G1" s="38"/>
    </row>
    <row r="2" spans="1:7" ht="15" customHeight="1">
      <c r="A2" s="39" t="s">
        <v>155</v>
      </c>
      <c r="B2" s="39"/>
      <c r="C2" s="39"/>
      <c r="D2" s="39"/>
      <c r="E2" s="39"/>
      <c r="F2" s="39"/>
      <c r="G2" s="39"/>
    </row>
    <row r="3" spans="1:7" ht="15" customHeight="1">
      <c r="A3" s="2" t="s">
        <v>156</v>
      </c>
      <c r="B3" s="2" t="s">
        <v>157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162</v>
      </c>
    </row>
    <row r="4" spans="1:7" ht="40.5" customHeight="1">
      <c r="A4" s="14" t="s">
        <v>163</v>
      </c>
      <c r="B4" s="4" t="s">
        <v>99</v>
      </c>
      <c r="C4" s="4" t="s">
        <v>164</v>
      </c>
      <c r="D4" s="4" t="s">
        <v>165</v>
      </c>
      <c r="E4" s="8" t="s">
        <v>166</v>
      </c>
      <c r="F4" s="4" t="s">
        <v>167</v>
      </c>
      <c r="G4" s="4"/>
    </row>
    <row r="5" spans="1:7" ht="26.45" customHeight="1">
      <c r="A5" s="14" t="s">
        <v>168</v>
      </c>
      <c r="B5" s="4" t="s">
        <v>99</v>
      </c>
      <c r="C5" s="4" t="s">
        <v>169</v>
      </c>
      <c r="D5" s="4" t="s">
        <v>170</v>
      </c>
      <c r="E5" s="8" t="s">
        <v>166</v>
      </c>
      <c r="F5" s="4" t="s">
        <v>171</v>
      </c>
      <c r="G5" s="4"/>
    </row>
    <row r="6" spans="1:7" ht="33" customHeight="1">
      <c r="A6" s="14" t="s">
        <v>172</v>
      </c>
      <c r="B6" s="4" t="s">
        <v>99</v>
      </c>
      <c r="C6" s="4" t="s">
        <v>173</v>
      </c>
      <c r="D6" s="4" t="s">
        <v>174</v>
      </c>
      <c r="E6" s="8" t="s">
        <v>166</v>
      </c>
      <c r="F6" s="4" t="s">
        <v>175</v>
      </c>
      <c r="G6" s="4"/>
    </row>
    <row r="7" spans="1:7" ht="51" customHeight="1">
      <c r="A7" s="14" t="s">
        <v>176</v>
      </c>
      <c r="B7" s="4" t="s">
        <v>99</v>
      </c>
      <c r="C7" s="4" t="s">
        <v>177</v>
      </c>
      <c r="D7" s="4" t="s">
        <v>178</v>
      </c>
      <c r="E7" s="8" t="s">
        <v>166</v>
      </c>
      <c r="F7" s="4" t="s">
        <v>179</v>
      </c>
      <c r="G7" s="4"/>
    </row>
    <row r="8" spans="1:7" ht="36.75" customHeight="1">
      <c r="A8" s="14" t="s">
        <v>180</v>
      </c>
      <c r="B8" s="4" t="s">
        <v>99</v>
      </c>
      <c r="C8" s="4" t="s">
        <v>181</v>
      </c>
      <c r="D8" s="4" t="s">
        <v>182</v>
      </c>
      <c r="E8" s="8" t="s">
        <v>166</v>
      </c>
      <c r="F8" s="4" t="s">
        <v>183</v>
      </c>
      <c r="G8" s="4"/>
    </row>
    <row r="9" spans="1:7" ht="38.25" customHeight="1">
      <c r="A9" s="14" t="s">
        <v>184</v>
      </c>
      <c r="B9" s="4" t="s">
        <v>99</v>
      </c>
      <c r="C9" s="4" t="s">
        <v>185</v>
      </c>
      <c r="D9" s="4" t="s">
        <v>186</v>
      </c>
      <c r="E9" s="8" t="s">
        <v>166</v>
      </c>
      <c r="F9" s="4" t="s">
        <v>187</v>
      </c>
      <c r="G9" s="4"/>
    </row>
    <row r="10" spans="1:7" ht="40.5" customHeight="1">
      <c r="A10" s="14" t="s">
        <v>188</v>
      </c>
      <c r="B10" s="4" t="s">
        <v>99</v>
      </c>
      <c r="C10" s="4" t="s">
        <v>189</v>
      </c>
      <c r="D10" s="4" t="s">
        <v>190</v>
      </c>
      <c r="E10" s="8" t="s">
        <v>166</v>
      </c>
      <c r="F10" s="4" t="s">
        <v>191</v>
      </c>
      <c r="G10" s="4"/>
    </row>
    <row r="11" spans="1:7" ht="40.5" customHeight="1">
      <c r="A11" s="14" t="s">
        <v>192</v>
      </c>
      <c r="B11" s="4" t="s">
        <v>99</v>
      </c>
      <c r="C11" s="4" t="s">
        <v>193</v>
      </c>
      <c r="D11" s="4" t="s">
        <v>194</v>
      </c>
      <c r="E11" s="8" t="s">
        <v>166</v>
      </c>
      <c r="F11" s="4" t="s">
        <v>195</v>
      </c>
      <c r="G11" s="4"/>
    </row>
    <row r="12" spans="1:7" ht="38.25" customHeight="1">
      <c r="A12" s="14" t="s">
        <v>196</v>
      </c>
      <c r="B12" s="4" t="s">
        <v>99</v>
      </c>
      <c r="C12" s="4" t="s">
        <v>197</v>
      </c>
      <c r="D12" s="4" t="s">
        <v>198</v>
      </c>
      <c r="E12" s="8" t="s">
        <v>166</v>
      </c>
      <c r="F12" s="4" t="s">
        <v>199</v>
      </c>
      <c r="G12" s="4"/>
    </row>
    <row r="13" spans="1:7" ht="26.45" customHeight="1">
      <c r="A13" s="14" t="s">
        <v>200</v>
      </c>
      <c r="B13" s="4" t="s">
        <v>99</v>
      </c>
      <c r="C13" s="4" t="s">
        <v>201</v>
      </c>
      <c r="D13" s="4" t="s">
        <v>202</v>
      </c>
      <c r="E13" s="12" t="s">
        <v>203</v>
      </c>
      <c r="F13" s="4" t="s">
        <v>204</v>
      </c>
      <c r="G13" s="4"/>
    </row>
    <row r="14" spans="1:7" ht="15" customHeight="1">
      <c r="A14" s="14" t="s">
        <v>205</v>
      </c>
      <c r="B14" s="4" t="s">
        <v>99</v>
      </c>
      <c r="C14" s="4" t="s">
        <v>197</v>
      </c>
      <c r="D14" s="4" t="s">
        <v>206</v>
      </c>
      <c r="E14" s="8" t="s">
        <v>166</v>
      </c>
      <c r="F14" s="4" t="s">
        <v>207</v>
      </c>
      <c r="G14" s="4"/>
    </row>
    <row r="15" spans="1:7" ht="26.45" customHeight="1">
      <c r="A15" s="14" t="s">
        <v>208</v>
      </c>
      <c r="B15" s="4" t="s">
        <v>99</v>
      </c>
      <c r="C15" s="4" t="s">
        <v>197</v>
      </c>
      <c r="D15" s="4" t="s">
        <v>209</v>
      </c>
      <c r="E15" s="8" t="s">
        <v>166</v>
      </c>
      <c r="F15" s="4" t="s">
        <v>210</v>
      </c>
      <c r="G15" s="4"/>
    </row>
    <row r="16" spans="1:7" ht="39.6" customHeight="1">
      <c r="A16" s="14" t="s">
        <v>211</v>
      </c>
      <c r="B16" s="4" t="s">
        <v>99</v>
      </c>
      <c r="C16" s="4" t="s">
        <v>197</v>
      </c>
      <c r="D16" s="4" t="s">
        <v>212</v>
      </c>
      <c r="E16" s="16" t="s">
        <v>213</v>
      </c>
      <c r="F16" s="4" t="s">
        <v>214</v>
      </c>
      <c r="G16" s="4" t="s">
        <v>215</v>
      </c>
    </row>
    <row r="17" spans="1:7" ht="49.5" customHeight="1">
      <c r="A17" s="14" t="s">
        <v>216</v>
      </c>
      <c r="B17" s="4" t="s">
        <v>99</v>
      </c>
      <c r="C17" s="4" t="s">
        <v>169</v>
      </c>
      <c r="D17" s="4" t="s">
        <v>217</v>
      </c>
      <c r="E17" s="8" t="s">
        <v>166</v>
      </c>
      <c r="F17" s="4" t="s">
        <v>218</v>
      </c>
      <c r="G17" s="4"/>
    </row>
    <row r="18" spans="1:7" ht="27.75" customHeight="1">
      <c r="A18" s="14" t="s">
        <v>219</v>
      </c>
      <c r="B18" s="4" t="s">
        <v>99</v>
      </c>
      <c r="C18" s="4" t="s">
        <v>220</v>
      </c>
      <c r="D18" s="4" t="s">
        <v>221</v>
      </c>
      <c r="E18" s="8" t="s">
        <v>166</v>
      </c>
      <c r="F18" s="4" t="s">
        <v>187</v>
      </c>
      <c r="G18" s="4"/>
    </row>
    <row r="19" spans="1:7" ht="57.75" customHeight="1">
      <c r="A19" s="14" t="s">
        <v>222</v>
      </c>
      <c r="B19" s="4" t="s">
        <v>99</v>
      </c>
      <c r="C19" s="4" t="s">
        <v>164</v>
      </c>
      <c r="D19" s="4" t="s">
        <v>223</v>
      </c>
      <c r="E19" s="8" t="s">
        <v>166</v>
      </c>
      <c r="F19" s="4" t="s">
        <v>224</v>
      </c>
      <c r="G19" s="4"/>
    </row>
    <row r="20" spans="1:7" ht="36" customHeight="1">
      <c r="A20" s="14" t="s">
        <v>225</v>
      </c>
      <c r="B20" s="4" t="s">
        <v>103</v>
      </c>
      <c r="C20" s="4" t="s">
        <v>177</v>
      </c>
      <c r="D20" s="4" t="s">
        <v>226</v>
      </c>
      <c r="E20" s="8" t="s">
        <v>166</v>
      </c>
      <c r="F20" s="4" t="s">
        <v>227</v>
      </c>
      <c r="G20" s="4"/>
    </row>
    <row r="21" spans="1:7" ht="47.25" customHeight="1">
      <c r="A21" s="14" t="s">
        <v>228</v>
      </c>
      <c r="B21" s="4" t="s">
        <v>103</v>
      </c>
      <c r="C21" s="4" t="s">
        <v>229</v>
      </c>
      <c r="D21" s="4" t="s">
        <v>230</v>
      </c>
      <c r="E21" s="8" t="s">
        <v>166</v>
      </c>
      <c r="F21" s="4" t="s">
        <v>231</v>
      </c>
      <c r="G21" s="4"/>
    </row>
    <row r="22" spans="1:7" ht="38.25" customHeight="1">
      <c r="A22" s="14" t="s">
        <v>232</v>
      </c>
      <c r="B22" s="4" t="s">
        <v>103</v>
      </c>
      <c r="C22" s="4" t="s">
        <v>233</v>
      </c>
      <c r="D22" s="4" t="s">
        <v>234</v>
      </c>
      <c r="E22" s="8" t="s">
        <v>166</v>
      </c>
      <c r="F22" s="4" t="s">
        <v>235</v>
      </c>
      <c r="G22" s="4"/>
    </row>
    <row r="23" spans="1:7" ht="45" customHeight="1">
      <c r="A23" s="14" t="s">
        <v>236</v>
      </c>
      <c r="B23" s="4" t="s">
        <v>103</v>
      </c>
      <c r="C23" s="4" t="s">
        <v>169</v>
      </c>
      <c r="D23" s="4" t="s">
        <v>237</v>
      </c>
      <c r="E23" s="8" t="s">
        <v>166</v>
      </c>
      <c r="F23" s="4" t="s">
        <v>238</v>
      </c>
      <c r="G23" s="4"/>
    </row>
    <row r="24" spans="1:7" ht="39" customHeight="1">
      <c r="A24" s="14" t="s">
        <v>239</v>
      </c>
      <c r="B24" s="4" t="s">
        <v>103</v>
      </c>
      <c r="C24" s="4" t="s">
        <v>240</v>
      </c>
      <c r="D24" s="4" t="s">
        <v>241</v>
      </c>
      <c r="E24" s="8" t="s">
        <v>166</v>
      </c>
      <c r="F24" s="4" t="s">
        <v>242</v>
      </c>
      <c r="G24" s="4"/>
    </row>
    <row r="25" spans="1:7" ht="34.5" customHeight="1">
      <c r="A25" s="14" t="s">
        <v>243</v>
      </c>
      <c r="B25" s="4" t="s">
        <v>103</v>
      </c>
      <c r="C25" s="4" t="s">
        <v>240</v>
      </c>
      <c r="D25" s="4" t="s">
        <v>244</v>
      </c>
      <c r="E25" s="8" t="s">
        <v>166</v>
      </c>
      <c r="F25" s="4" t="s">
        <v>245</v>
      </c>
      <c r="G25" s="4"/>
    </row>
    <row r="26" spans="1:7" ht="40.5" customHeight="1">
      <c r="A26" s="14" t="s">
        <v>246</v>
      </c>
      <c r="B26" s="4" t="s">
        <v>103</v>
      </c>
      <c r="C26" s="4" t="s">
        <v>185</v>
      </c>
      <c r="D26" s="4" t="s">
        <v>247</v>
      </c>
      <c r="E26" s="8" t="s">
        <v>166</v>
      </c>
      <c r="F26" s="4" t="s">
        <v>187</v>
      </c>
      <c r="G26" s="4"/>
    </row>
    <row r="27" spans="1:7" ht="24.75" customHeight="1">
      <c r="A27" s="14" t="s">
        <v>248</v>
      </c>
      <c r="B27" s="4" t="s">
        <v>103</v>
      </c>
      <c r="C27" s="4" t="s">
        <v>197</v>
      </c>
      <c r="D27" s="4" t="s">
        <v>249</v>
      </c>
      <c r="E27" s="8" t="s">
        <v>166</v>
      </c>
      <c r="F27" s="4" t="s">
        <v>250</v>
      </c>
      <c r="G27" s="4"/>
    </row>
    <row r="28" spans="1:7" ht="27.75" customHeight="1">
      <c r="A28" s="14" t="s">
        <v>251</v>
      </c>
      <c r="B28" s="4" t="s">
        <v>103</v>
      </c>
      <c r="C28" s="4" t="s">
        <v>197</v>
      </c>
      <c r="D28" s="4" t="s">
        <v>252</v>
      </c>
      <c r="E28" s="8" t="s">
        <v>166</v>
      </c>
      <c r="F28" s="4" t="s">
        <v>253</v>
      </c>
      <c r="G28" s="4"/>
    </row>
    <row r="29" spans="1:7" ht="30" customHeight="1">
      <c r="A29" s="14" t="s">
        <v>254</v>
      </c>
      <c r="B29" s="4" t="s">
        <v>103</v>
      </c>
      <c r="C29" s="4" t="s">
        <v>201</v>
      </c>
      <c r="D29" s="4" t="s">
        <v>255</v>
      </c>
      <c r="E29" s="12" t="s">
        <v>203</v>
      </c>
      <c r="F29" s="4" t="s">
        <v>187</v>
      </c>
      <c r="G29" s="4"/>
    </row>
    <row r="30" spans="1:7" ht="33" customHeight="1">
      <c r="A30" s="14" t="s">
        <v>256</v>
      </c>
      <c r="B30" s="4" t="s">
        <v>103</v>
      </c>
      <c r="C30" s="4" t="s">
        <v>169</v>
      </c>
      <c r="D30" s="4" t="s">
        <v>257</v>
      </c>
      <c r="E30" s="8" t="s">
        <v>166</v>
      </c>
      <c r="F30" s="4" t="s">
        <v>258</v>
      </c>
      <c r="G30" s="4"/>
    </row>
    <row r="31" spans="1:7" ht="39.6" customHeight="1">
      <c r="A31" s="14" t="s">
        <v>259</v>
      </c>
      <c r="B31" s="4" t="s">
        <v>103</v>
      </c>
      <c r="C31" s="4" t="s">
        <v>197</v>
      </c>
      <c r="D31" s="4" t="s">
        <v>212</v>
      </c>
      <c r="E31" s="16" t="s">
        <v>213</v>
      </c>
      <c r="F31" s="4" t="s">
        <v>260</v>
      </c>
      <c r="G31" s="4" t="s">
        <v>261</v>
      </c>
    </row>
    <row r="32" spans="1:7" ht="15" customHeight="1">
      <c r="A32" s="4"/>
      <c r="B32" s="4"/>
      <c r="C32" s="4"/>
      <c r="D32" s="4"/>
      <c r="E32" s="4"/>
      <c r="F32" s="4"/>
      <c r="G32" s="4"/>
    </row>
    <row r="33" spans="1:7" ht="15" customHeight="1">
      <c r="A33" s="4"/>
      <c r="B33" s="4"/>
      <c r="C33" s="6" t="s">
        <v>262</v>
      </c>
      <c r="D33" s="14">
        <f>COUNTA(A4:A31)</f>
        <v>28</v>
      </c>
      <c r="E33" s="4"/>
      <c r="F33" s="4"/>
      <c r="G33" s="4"/>
    </row>
    <row r="34" spans="1:7" ht="15" customHeight="1">
      <c r="A34" s="4"/>
      <c r="B34" s="4"/>
      <c r="C34" s="6" t="s">
        <v>263</v>
      </c>
      <c r="D34" s="14">
        <f>COUNTIF(E4:E31,"TIMEOUT")</f>
        <v>2</v>
      </c>
      <c r="E34" s="4"/>
      <c r="F34" s="4"/>
      <c r="G34" s="4"/>
    </row>
    <row r="35" spans="1:7" ht="15" customHeight="1">
      <c r="A35" s="4"/>
      <c r="B35" s="4"/>
      <c r="C35" s="6" t="s">
        <v>264</v>
      </c>
      <c r="D35" s="14">
        <f>COUNTIF(E4:E31,"EQUIVALENT")</f>
        <v>2</v>
      </c>
      <c r="E35" s="4"/>
      <c r="F35" s="4"/>
      <c r="G35" s="4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"/>
  <sheetViews>
    <sheetView showGridLines="0" workbookViewId="0"/>
  </sheetViews>
  <sheetFormatPr defaultColWidth="8.7109375" defaultRowHeight="15"/>
  <cols>
    <col min="1" max="1" width="13" style="1" customWidth="1"/>
    <col min="2" max="2" width="27" style="1" customWidth="1"/>
    <col min="3" max="3" width="12" style="1" customWidth="1"/>
    <col min="4" max="4" width="22" style="1" customWidth="1"/>
    <col min="5" max="5" width="11" style="1" customWidth="1"/>
    <col min="6" max="6" width="12" style="1" customWidth="1"/>
    <col min="7" max="7" width="18" style="1" customWidth="1"/>
    <col min="8" max="9" width="14" style="1" customWidth="1"/>
    <col min="10" max="11" width="28" style="1" customWidth="1"/>
    <col min="12" max="16384" width="8.7109375" style="1"/>
  </cols>
  <sheetData>
    <row r="1" spans="1:11" ht="15" customHeight="1">
      <c r="A1" s="38" t="s">
        <v>265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5" customHeight="1">
      <c r="A2" s="39" t="s">
        <v>266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5" customHeight="1">
      <c r="A3" s="2" t="s">
        <v>267</v>
      </c>
      <c r="B3" s="2" t="s">
        <v>157</v>
      </c>
      <c r="C3" s="2" t="s">
        <v>268</v>
      </c>
      <c r="D3" s="2" t="s">
        <v>269</v>
      </c>
      <c r="E3" s="2" t="s">
        <v>270</v>
      </c>
      <c r="F3" s="2" t="s">
        <v>144</v>
      </c>
      <c r="G3" s="2" t="s">
        <v>271</v>
      </c>
      <c r="H3" s="2" t="s">
        <v>272</v>
      </c>
      <c r="I3" s="2" t="s">
        <v>273</v>
      </c>
      <c r="J3" s="2" t="s">
        <v>274</v>
      </c>
      <c r="K3" s="2" t="s">
        <v>275</v>
      </c>
    </row>
    <row r="4" spans="1:11" ht="15" customHeight="1">
      <c r="A4" s="7" t="s">
        <v>276</v>
      </c>
      <c r="B4" s="4" t="s">
        <v>99</v>
      </c>
      <c r="C4" s="14" t="s">
        <v>163</v>
      </c>
      <c r="D4" s="4" t="s">
        <v>164</v>
      </c>
      <c r="E4" s="7" t="s">
        <v>277</v>
      </c>
      <c r="F4" s="7" t="s">
        <v>278</v>
      </c>
      <c r="G4" s="7" t="s">
        <v>279</v>
      </c>
      <c r="H4" s="8" t="s">
        <v>166</v>
      </c>
      <c r="I4" s="7" t="s">
        <v>280</v>
      </c>
      <c r="J4" s="7" t="s">
        <v>281</v>
      </c>
      <c r="K4" s="13"/>
    </row>
    <row r="5" spans="1:11" ht="15" customHeight="1">
      <c r="A5" s="7" t="s">
        <v>276</v>
      </c>
      <c r="B5" s="4" t="s">
        <v>99</v>
      </c>
      <c r="C5" s="14" t="s">
        <v>168</v>
      </c>
      <c r="D5" s="4" t="s">
        <v>169</v>
      </c>
      <c r="E5" s="7" t="s">
        <v>277</v>
      </c>
      <c r="F5" s="7" t="s">
        <v>282</v>
      </c>
      <c r="G5" s="7" t="s">
        <v>111</v>
      </c>
      <c r="H5" s="10" t="s">
        <v>283</v>
      </c>
      <c r="I5" s="7" t="s">
        <v>111</v>
      </c>
      <c r="J5" s="7" t="s">
        <v>284</v>
      </c>
      <c r="K5" s="13"/>
    </row>
    <row r="6" spans="1:11" ht="15" customHeight="1">
      <c r="A6" s="7" t="s">
        <v>276</v>
      </c>
      <c r="B6" s="4" t="s">
        <v>99</v>
      </c>
      <c r="C6" s="14" t="s">
        <v>172</v>
      </c>
      <c r="D6" s="4" t="s">
        <v>173</v>
      </c>
      <c r="E6" s="7" t="s">
        <v>277</v>
      </c>
      <c r="F6" s="7" t="s">
        <v>278</v>
      </c>
      <c r="G6" s="7" t="s">
        <v>279</v>
      </c>
      <c r="H6" s="8" t="s">
        <v>166</v>
      </c>
      <c r="I6" s="7" t="s">
        <v>280</v>
      </c>
      <c r="J6" s="7" t="s">
        <v>281</v>
      </c>
      <c r="K6" s="13"/>
    </row>
    <row r="7" spans="1:11" ht="15" customHeight="1">
      <c r="A7" s="7" t="s">
        <v>276</v>
      </c>
      <c r="B7" s="4" t="s">
        <v>99</v>
      </c>
      <c r="C7" s="14" t="s">
        <v>176</v>
      </c>
      <c r="D7" s="4" t="s">
        <v>177</v>
      </c>
      <c r="E7" s="7" t="s">
        <v>285</v>
      </c>
      <c r="F7" s="7" t="s">
        <v>278</v>
      </c>
      <c r="G7" s="7" t="s">
        <v>286</v>
      </c>
      <c r="H7" s="8" t="s">
        <v>166</v>
      </c>
      <c r="I7" s="7" t="s">
        <v>287</v>
      </c>
      <c r="J7" s="7" t="s">
        <v>281</v>
      </c>
      <c r="K7" s="13"/>
    </row>
    <row r="8" spans="1:11" ht="15" customHeight="1">
      <c r="A8" s="7" t="s">
        <v>276</v>
      </c>
      <c r="B8" s="4" t="s">
        <v>99</v>
      </c>
      <c r="C8" s="14" t="s">
        <v>180</v>
      </c>
      <c r="D8" s="4" t="s">
        <v>181</v>
      </c>
      <c r="E8" s="7" t="s">
        <v>285</v>
      </c>
      <c r="F8" s="7" t="s">
        <v>282</v>
      </c>
      <c r="G8" s="7" t="s">
        <v>111</v>
      </c>
      <c r="H8" s="8" t="s">
        <v>166</v>
      </c>
      <c r="I8" s="7" t="s">
        <v>287</v>
      </c>
      <c r="J8" s="7" t="s">
        <v>281</v>
      </c>
      <c r="K8" s="13"/>
    </row>
    <row r="9" spans="1:11" ht="15" customHeight="1">
      <c r="A9" s="7" t="s">
        <v>276</v>
      </c>
      <c r="B9" s="4" t="s">
        <v>99</v>
      </c>
      <c r="C9" s="14" t="s">
        <v>184</v>
      </c>
      <c r="D9" s="4" t="s">
        <v>185</v>
      </c>
      <c r="E9" s="7" t="s">
        <v>277</v>
      </c>
      <c r="F9" s="7" t="s">
        <v>278</v>
      </c>
      <c r="G9" s="7" t="s">
        <v>286</v>
      </c>
      <c r="H9" s="8" t="s">
        <v>166</v>
      </c>
      <c r="I9" s="7" t="s">
        <v>280</v>
      </c>
      <c r="J9" s="7" t="s">
        <v>281</v>
      </c>
      <c r="K9" s="13"/>
    </row>
    <row r="10" spans="1:11" ht="15" customHeight="1">
      <c r="A10" s="7" t="s">
        <v>276</v>
      </c>
      <c r="B10" s="4" t="s">
        <v>99</v>
      </c>
      <c r="C10" s="14" t="s">
        <v>188</v>
      </c>
      <c r="D10" s="4" t="s">
        <v>189</v>
      </c>
      <c r="E10" s="7" t="s">
        <v>277</v>
      </c>
      <c r="F10" s="7" t="s">
        <v>278</v>
      </c>
      <c r="G10" s="7" t="s">
        <v>286</v>
      </c>
      <c r="H10" s="8" t="s">
        <v>166</v>
      </c>
      <c r="I10" s="7" t="s">
        <v>280</v>
      </c>
      <c r="J10" s="7" t="s">
        <v>281</v>
      </c>
      <c r="K10" s="13"/>
    </row>
    <row r="11" spans="1:11" ht="15" customHeight="1">
      <c r="A11" s="7" t="s">
        <v>276</v>
      </c>
      <c r="B11" s="4" t="s">
        <v>99</v>
      </c>
      <c r="C11" s="14" t="s">
        <v>192</v>
      </c>
      <c r="D11" s="4" t="s">
        <v>193</v>
      </c>
      <c r="E11" s="7" t="s">
        <v>277</v>
      </c>
      <c r="F11" s="7" t="s">
        <v>282</v>
      </c>
      <c r="G11" s="7" t="s">
        <v>111</v>
      </c>
      <c r="H11" s="10" t="s">
        <v>283</v>
      </c>
      <c r="I11" s="7" t="s">
        <v>111</v>
      </c>
      <c r="J11" s="7" t="s">
        <v>284</v>
      </c>
      <c r="K11" s="13"/>
    </row>
    <row r="12" spans="1:11" ht="15" customHeight="1">
      <c r="A12" s="7" t="s">
        <v>276</v>
      </c>
      <c r="B12" s="4" t="s">
        <v>99</v>
      </c>
      <c r="C12" s="14" t="s">
        <v>196</v>
      </c>
      <c r="D12" s="4" t="s">
        <v>197</v>
      </c>
      <c r="E12" s="7" t="s">
        <v>285</v>
      </c>
      <c r="F12" s="7" t="s">
        <v>288</v>
      </c>
      <c r="G12" s="7" t="s">
        <v>289</v>
      </c>
      <c r="H12" s="8" t="s">
        <v>166</v>
      </c>
      <c r="I12" s="7" t="s">
        <v>287</v>
      </c>
      <c r="J12" s="7" t="s">
        <v>281</v>
      </c>
      <c r="K12" s="13"/>
    </row>
    <row r="13" spans="1:11" ht="15" customHeight="1">
      <c r="A13" s="7" t="s">
        <v>276</v>
      </c>
      <c r="B13" s="4" t="s">
        <v>99</v>
      </c>
      <c r="C13" s="14" t="s">
        <v>200</v>
      </c>
      <c r="D13" s="4" t="s">
        <v>201</v>
      </c>
      <c r="E13" s="7" t="s">
        <v>277</v>
      </c>
      <c r="F13" s="7" t="s">
        <v>282</v>
      </c>
      <c r="G13" s="7" t="s">
        <v>111</v>
      </c>
      <c r="H13" s="10" t="s">
        <v>283</v>
      </c>
      <c r="I13" s="7" t="s">
        <v>111</v>
      </c>
      <c r="J13" s="7" t="s">
        <v>284</v>
      </c>
      <c r="K13" s="13"/>
    </row>
    <row r="14" spans="1:11" ht="15" customHeight="1">
      <c r="A14" s="7" t="s">
        <v>276</v>
      </c>
      <c r="B14" s="4" t="s">
        <v>99</v>
      </c>
      <c r="C14" s="14" t="s">
        <v>205</v>
      </c>
      <c r="D14" s="4" t="s">
        <v>197</v>
      </c>
      <c r="E14" s="7" t="s">
        <v>285</v>
      </c>
      <c r="F14" s="7" t="s">
        <v>288</v>
      </c>
      <c r="G14" s="7" t="s">
        <v>289</v>
      </c>
      <c r="H14" s="8" t="s">
        <v>166</v>
      </c>
      <c r="I14" s="7" t="s">
        <v>287</v>
      </c>
      <c r="J14" s="7" t="s">
        <v>281</v>
      </c>
      <c r="K14" s="13"/>
    </row>
    <row r="15" spans="1:11" ht="15" customHeight="1">
      <c r="A15" s="7" t="s">
        <v>276</v>
      </c>
      <c r="B15" s="4" t="s">
        <v>99</v>
      </c>
      <c r="C15" s="14" t="s">
        <v>208</v>
      </c>
      <c r="D15" s="4" t="s">
        <v>197</v>
      </c>
      <c r="E15" s="7" t="s">
        <v>285</v>
      </c>
      <c r="F15" s="7" t="s">
        <v>288</v>
      </c>
      <c r="G15" s="7" t="s">
        <v>289</v>
      </c>
      <c r="H15" s="8" t="s">
        <v>166</v>
      </c>
      <c r="I15" s="7" t="s">
        <v>287</v>
      </c>
      <c r="J15" s="7" t="s">
        <v>281</v>
      </c>
      <c r="K15" s="13"/>
    </row>
    <row r="16" spans="1:11" ht="15" customHeight="1">
      <c r="A16" s="7" t="s">
        <v>276</v>
      </c>
      <c r="B16" s="4" t="s">
        <v>99</v>
      </c>
      <c r="C16" s="14" t="s">
        <v>211</v>
      </c>
      <c r="D16" s="4" t="s">
        <v>197</v>
      </c>
      <c r="E16" s="7" t="s">
        <v>277</v>
      </c>
      <c r="F16" s="7" t="s">
        <v>282</v>
      </c>
      <c r="G16" s="7" t="s">
        <v>111</v>
      </c>
      <c r="H16" s="16" t="s">
        <v>213</v>
      </c>
      <c r="I16" s="7" t="s">
        <v>111</v>
      </c>
      <c r="J16" s="7" t="s">
        <v>281</v>
      </c>
      <c r="K16" s="13"/>
    </row>
    <row r="17" spans="1:11" ht="15" customHeight="1">
      <c r="A17" s="7" t="s">
        <v>276</v>
      </c>
      <c r="B17" s="4" t="s">
        <v>99</v>
      </c>
      <c r="C17" s="14" t="s">
        <v>216</v>
      </c>
      <c r="D17" s="4" t="s">
        <v>169</v>
      </c>
      <c r="E17" s="7" t="s">
        <v>285</v>
      </c>
      <c r="F17" s="7" t="s">
        <v>282</v>
      </c>
      <c r="G17" s="7" t="s">
        <v>111</v>
      </c>
      <c r="H17" s="8" t="s">
        <v>166</v>
      </c>
      <c r="I17" s="7" t="s">
        <v>287</v>
      </c>
      <c r="J17" s="7" t="s">
        <v>281</v>
      </c>
      <c r="K17" s="13"/>
    </row>
    <row r="18" spans="1:11" ht="15" customHeight="1">
      <c r="A18" s="7" t="s">
        <v>276</v>
      </c>
      <c r="B18" s="4" t="s">
        <v>99</v>
      </c>
      <c r="C18" s="14" t="s">
        <v>219</v>
      </c>
      <c r="D18" s="4" t="s">
        <v>220</v>
      </c>
      <c r="E18" s="7" t="s">
        <v>277</v>
      </c>
      <c r="F18" s="7" t="s">
        <v>282</v>
      </c>
      <c r="G18" s="7" t="s">
        <v>111</v>
      </c>
      <c r="H18" s="10" t="s">
        <v>283</v>
      </c>
      <c r="I18" s="7" t="s">
        <v>111</v>
      </c>
      <c r="J18" s="7" t="s">
        <v>284</v>
      </c>
      <c r="K18" s="13"/>
    </row>
    <row r="19" spans="1:11" ht="15" customHeight="1">
      <c r="A19" s="7" t="s">
        <v>276</v>
      </c>
      <c r="B19" s="4" t="s">
        <v>99</v>
      </c>
      <c r="C19" s="14" t="s">
        <v>222</v>
      </c>
      <c r="D19" s="4" t="s">
        <v>164</v>
      </c>
      <c r="E19" s="7" t="s">
        <v>277</v>
      </c>
      <c r="F19" s="7" t="s">
        <v>282</v>
      </c>
      <c r="G19" s="7" t="s">
        <v>111</v>
      </c>
      <c r="H19" s="10" t="s">
        <v>283</v>
      </c>
      <c r="I19" s="7" t="s">
        <v>111</v>
      </c>
      <c r="J19" s="7" t="s">
        <v>284</v>
      </c>
      <c r="K19" s="13"/>
    </row>
    <row r="20" spans="1:11" ht="15" customHeight="1">
      <c r="A20" s="7" t="s">
        <v>290</v>
      </c>
      <c r="B20" s="4" t="s">
        <v>99</v>
      </c>
      <c r="C20" s="14" t="s">
        <v>163</v>
      </c>
      <c r="D20" s="4" t="s">
        <v>164</v>
      </c>
      <c r="E20" s="7" t="s">
        <v>277</v>
      </c>
      <c r="F20" s="7" t="s">
        <v>291</v>
      </c>
      <c r="G20" s="7" t="s">
        <v>279</v>
      </c>
      <c r="H20" s="8" t="s">
        <v>166</v>
      </c>
      <c r="I20" s="7" t="s">
        <v>280</v>
      </c>
      <c r="J20" s="7" t="s">
        <v>281</v>
      </c>
      <c r="K20" s="13"/>
    </row>
    <row r="21" spans="1:11" ht="15" customHeight="1">
      <c r="A21" s="7" t="s">
        <v>290</v>
      </c>
      <c r="B21" s="4" t="s">
        <v>99</v>
      </c>
      <c r="C21" s="14" t="s">
        <v>168</v>
      </c>
      <c r="D21" s="4" t="s">
        <v>169</v>
      </c>
      <c r="E21" s="7" t="s">
        <v>277</v>
      </c>
      <c r="F21" s="7" t="s">
        <v>292</v>
      </c>
      <c r="G21" s="7" t="s">
        <v>293</v>
      </c>
      <c r="H21" s="8" t="s">
        <v>166</v>
      </c>
      <c r="I21" s="7" t="s">
        <v>280</v>
      </c>
      <c r="J21" s="7" t="s">
        <v>281</v>
      </c>
      <c r="K21" s="13"/>
    </row>
    <row r="22" spans="1:11" ht="15" customHeight="1">
      <c r="A22" s="7" t="s">
        <v>290</v>
      </c>
      <c r="B22" s="4" t="s">
        <v>99</v>
      </c>
      <c r="C22" s="14" t="s">
        <v>172</v>
      </c>
      <c r="D22" s="4" t="s">
        <v>173</v>
      </c>
      <c r="E22" s="7" t="s">
        <v>277</v>
      </c>
      <c r="F22" s="7" t="s">
        <v>291</v>
      </c>
      <c r="G22" s="7" t="s">
        <v>279</v>
      </c>
      <c r="H22" s="8" t="s">
        <v>166</v>
      </c>
      <c r="I22" s="7" t="s">
        <v>280</v>
      </c>
      <c r="J22" s="7" t="s">
        <v>281</v>
      </c>
      <c r="K22" s="13"/>
    </row>
    <row r="23" spans="1:11" ht="15" customHeight="1">
      <c r="A23" s="7" t="s">
        <v>290</v>
      </c>
      <c r="B23" s="4" t="s">
        <v>99</v>
      </c>
      <c r="C23" s="14" t="s">
        <v>176</v>
      </c>
      <c r="D23" s="4" t="s">
        <v>177</v>
      </c>
      <c r="E23" s="7" t="s">
        <v>285</v>
      </c>
      <c r="F23" s="7" t="s">
        <v>294</v>
      </c>
      <c r="G23" s="7" t="s">
        <v>295</v>
      </c>
      <c r="H23" s="8" t="s">
        <v>166</v>
      </c>
      <c r="I23" s="7" t="s">
        <v>287</v>
      </c>
      <c r="J23" s="7" t="s">
        <v>281</v>
      </c>
      <c r="K23" s="13"/>
    </row>
    <row r="24" spans="1:11" ht="15" customHeight="1">
      <c r="A24" s="7" t="s">
        <v>290</v>
      </c>
      <c r="B24" s="4" t="s">
        <v>99</v>
      </c>
      <c r="C24" s="14" t="s">
        <v>180</v>
      </c>
      <c r="D24" s="4" t="s">
        <v>181</v>
      </c>
      <c r="E24" s="7" t="s">
        <v>285</v>
      </c>
      <c r="F24" s="7" t="s">
        <v>292</v>
      </c>
      <c r="G24" s="7" t="s">
        <v>293</v>
      </c>
      <c r="H24" s="8" t="s">
        <v>166</v>
      </c>
      <c r="I24" s="7" t="s">
        <v>287</v>
      </c>
      <c r="J24" s="7" t="s">
        <v>281</v>
      </c>
      <c r="K24" s="13"/>
    </row>
    <row r="25" spans="1:11" ht="15" customHeight="1">
      <c r="A25" s="7" t="s">
        <v>290</v>
      </c>
      <c r="B25" s="4" t="s">
        <v>99</v>
      </c>
      <c r="C25" s="14" t="s">
        <v>184</v>
      </c>
      <c r="D25" s="4" t="s">
        <v>185</v>
      </c>
      <c r="E25" s="7" t="s">
        <v>277</v>
      </c>
      <c r="F25" s="7" t="s">
        <v>294</v>
      </c>
      <c r="G25" s="7" t="s">
        <v>296</v>
      </c>
      <c r="H25" s="8" t="s">
        <v>166</v>
      </c>
      <c r="I25" s="7" t="s">
        <v>280</v>
      </c>
      <c r="J25" s="7" t="s">
        <v>281</v>
      </c>
      <c r="K25" s="13"/>
    </row>
    <row r="26" spans="1:11" ht="15" customHeight="1">
      <c r="A26" s="7" t="s">
        <v>290</v>
      </c>
      <c r="B26" s="4" t="s">
        <v>99</v>
      </c>
      <c r="C26" s="14" t="s">
        <v>188</v>
      </c>
      <c r="D26" s="4" t="s">
        <v>189</v>
      </c>
      <c r="E26" s="7" t="s">
        <v>277</v>
      </c>
      <c r="F26" s="7" t="s">
        <v>297</v>
      </c>
      <c r="G26" s="7" t="s">
        <v>298</v>
      </c>
      <c r="H26" s="8" t="s">
        <v>166</v>
      </c>
      <c r="I26" s="7" t="s">
        <v>280</v>
      </c>
      <c r="J26" s="7" t="s">
        <v>281</v>
      </c>
      <c r="K26" s="13"/>
    </row>
    <row r="27" spans="1:11" ht="15" customHeight="1">
      <c r="A27" s="7" t="s">
        <v>290</v>
      </c>
      <c r="B27" s="4" t="s">
        <v>99</v>
      </c>
      <c r="C27" s="14" t="s">
        <v>192</v>
      </c>
      <c r="D27" s="4" t="s">
        <v>193</v>
      </c>
      <c r="E27" s="7" t="s">
        <v>277</v>
      </c>
      <c r="F27" s="7" t="s">
        <v>294</v>
      </c>
      <c r="G27" s="7" t="s">
        <v>299</v>
      </c>
      <c r="H27" s="8" t="s">
        <v>166</v>
      </c>
      <c r="I27" s="7" t="s">
        <v>280</v>
      </c>
      <c r="J27" s="7" t="s">
        <v>281</v>
      </c>
      <c r="K27" s="13"/>
    </row>
    <row r="28" spans="1:11" ht="26.45" customHeight="1">
      <c r="A28" s="7" t="s">
        <v>290</v>
      </c>
      <c r="B28" s="4" t="s">
        <v>99</v>
      </c>
      <c r="C28" s="14" t="s">
        <v>196</v>
      </c>
      <c r="D28" s="4" t="s">
        <v>197</v>
      </c>
      <c r="E28" s="7" t="s">
        <v>285</v>
      </c>
      <c r="F28" s="7" t="s">
        <v>300</v>
      </c>
      <c r="G28" s="7" t="s">
        <v>301</v>
      </c>
      <c r="H28" s="8" t="s">
        <v>166</v>
      </c>
      <c r="I28" s="7" t="s">
        <v>287</v>
      </c>
      <c r="J28" s="7" t="s">
        <v>281</v>
      </c>
      <c r="K28" s="13"/>
    </row>
    <row r="29" spans="1:11" ht="15" customHeight="1">
      <c r="A29" s="7" t="s">
        <v>290</v>
      </c>
      <c r="B29" s="4" t="s">
        <v>99</v>
      </c>
      <c r="C29" s="14" t="s">
        <v>200</v>
      </c>
      <c r="D29" s="4" t="s">
        <v>201</v>
      </c>
      <c r="E29" s="7" t="s">
        <v>277</v>
      </c>
      <c r="F29" s="7" t="s">
        <v>291</v>
      </c>
      <c r="G29" s="7" t="s">
        <v>302</v>
      </c>
      <c r="H29" s="8" t="s">
        <v>166</v>
      </c>
      <c r="I29" s="7" t="s">
        <v>203</v>
      </c>
      <c r="J29" s="7" t="s">
        <v>281</v>
      </c>
      <c r="K29" s="13"/>
    </row>
    <row r="30" spans="1:11" ht="26.45" customHeight="1">
      <c r="A30" s="7" t="s">
        <v>290</v>
      </c>
      <c r="B30" s="4" t="s">
        <v>99</v>
      </c>
      <c r="C30" s="14" t="s">
        <v>205</v>
      </c>
      <c r="D30" s="4" t="s">
        <v>197</v>
      </c>
      <c r="E30" s="7" t="s">
        <v>285</v>
      </c>
      <c r="F30" s="7" t="s">
        <v>300</v>
      </c>
      <c r="G30" s="7" t="s">
        <v>301</v>
      </c>
      <c r="H30" s="8" t="s">
        <v>166</v>
      </c>
      <c r="I30" s="7" t="s">
        <v>287</v>
      </c>
      <c r="J30" s="7" t="s">
        <v>281</v>
      </c>
      <c r="K30" s="13"/>
    </row>
    <row r="31" spans="1:11" ht="26.45" customHeight="1">
      <c r="A31" s="7" t="s">
        <v>290</v>
      </c>
      <c r="B31" s="4" t="s">
        <v>99</v>
      </c>
      <c r="C31" s="14" t="s">
        <v>208</v>
      </c>
      <c r="D31" s="4" t="s">
        <v>197</v>
      </c>
      <c r="E31" s="7" t="s">
        <v>285</v>
      </c>
      <c r="F31" s="7" t="s">
        <v>300</v>
      </c>
      <c r="G31" s="7" t="s">
        <v>301</v>
      </c>
      <c r="H31" s="8" t="s">
        <v>166</v>
      </c>
      <c r="I31" s="7" t="s">
        <v>287</v>
      </c>
      <c r="J31" s="7" t="s">
        <v>281</v>
      </c>
      <c r="K31" s="13"/>
    </row>
    <row r="32" spans="1:11" ht="15" customHeight="1">
      <c r="A32" s="7" t="s">
        <v>290</v>
      </c>
      <c r="B32" s="4" t="s">
        <v>99</v>
      </c>
      <c r="C32" s="14" t="s">
        <v>211</v>
      </c>
      <c r="D32" s="4" t="s">
        <v>197</v>
      </c>
      <c r="E32" s="7" t="s">
        <v>277</v>
      </c>
      <c r="F32" s="7" t="s">
        <v>303</v>
      </c>
      <c r="G32" s="7" t="s">
        <v>111</v>
      </c>
      <c r="H32" s="16" t="s">
        <v>213</v>
      </c>
      <c r="I32" s="7" t="s">
        <v>111</v>
      </c>
      <c r="J32" s="7" t="s">
        <v>281</v>
      </c>
      <c r="K32" s="13"/>
    </row>
    <row r="33" spans="1:11" ht="15" customHeight="1">
      <c r="A33" s="7" t="s">
        <v>290</v>
      </c>
      <c r="B33" s="4" t="s">
        <v>99</v>
      </c>
      <c r="C33" s="14" t="s">
        <v>216</v>
      </c>
      <c r="D33" s="4" t="s">
        <v>169</v>
      </c>
      <c r="E33" s="7" t="s">
        <v>285</v>
      </c>
      <c r="F33" s="7" t="s">
        <v>291</v>
      </c>
      <c r="G33" s="7" t="s">
        <v>304</v>
      </c>
      <c r="H33" s="8" t="s">
        <v>166</v>
      </c>
      <c r="I33" s="7" t="s">
        <v>287</v>
      </c>
      <c r="J33" s="7" t="s">
        <v>281</v>
      </c>
      <c r="K33" s="13"/>
    </row>
    <row r="34" spans="1:11" ht="15" customHeight="1">
      <c r="A34" s="7" t="s">
        <v>290</v>
      </c>
      <c r="B34" s="4" t="s">
        <v>99</v>
      </c>
      <c r="C34" s="14" t="s">
        <v>219</v>
      </c>
      <c r="D34" s="4" t="s">
        <v>220</v>
      </c>
      <c r="E34" s="7" t="s">
        <v>277</v>
      </c>
      <c r="F34" s="7" t="s">
        <v>292</v>
      </c>
      <c r="G34" s="7" t="s">
        <v>305</v>
      </c>
      <c r="H34" s="8" t="s">
        <v>166</v>
      </c>
      <c r="I34" s="7" t="s">
        <v>280</v>
      </c>
      <c r="J34" s="7" t="s">
        <v>281</v>
      </c>
      <c r="K34" s="13"/>
    </row>
    <row r="35" spans="1:11" ht="15" customHeight="1">
      <c r="A35" s="7" t="s">
        <v>290</v>
      </c>
      <c r="B35" s="4" t="s">
        <v>99</v>
      </c>
      <c r="C35" s="14" t="s">
        <v>222</v>
      </c>
      <c r="D35" s="4" t="s">
        <v>164</v>
      </c>
      <c r="E35" s="7" t="s">
        <v>277</v>
      </c>
      <c r="F35" s="7" t="s">
        <v>291</v>
      </c>
      <c r="G35" s="7" t="s">
        <v>306</v>
      </c>
      <c r="H35" s="8" t="s">
        <v>166</v>
      </c>
      <c r="I35" s="7" t="s">
        <v>280</v>
      </c>
      <c r="J35" s="7" t="s">
        <v>281</v>
      </c>
      <c r="K35" s="13"/>
    </row>
    <row r="36" spans="1:11" ht="15" customHeight="1">
      <c r="A36" s="7" t="s">
        <v>276</v>
      </c>
      <c r="B36" s="4" t="s">
        <v>103</v>
      </c>
      <c r="C36" s="14" t="s">
        <v>225</v>
      </c>
      <c r="D36" s="4" t="s">
        <v>177</v>
      </c>
      <c r="E36" s="7" t="s">
        <v>285</v>
      </c>
      <c r="F36" s="7" t="s">
        <v>278</v>
      </c>
      <c r="G36" s="7" t="s">
        <v>286</v>
      </c>
      <c r="H36" s="8" t="s">
        <v>166</v>
      </c>
      <c r="I36" s="7" t="s">
        <v>287</v>
      </c>
      <c r="J36" s="7" t="s">
        <v>281</v>
      </c>
      <c r="K36" s="13"/>
    </row>
    <row r="37" spans="1:11" ht="15" customHeight="1">
      <c r="A37" s="7" t="s">
        <v>276</v>
      </c>
      <c r="B37" s="4" t="s">
        <v>103</v>
      </c>
      <c r="C37" s="14" t="s">
        <v>228</v>
      </c>
      <c r="D37" s="4" t="s">
        <v>229</v>
      </c>
      <c r="E37" s="7" t="s">
        <v>285</v>
      </c>
      <c r="F37" s="7" t="s">
        <v>278</v>
      </c>
      <c r="G37" s="7" t="s">
        <v>286</v>
      </c>
      <c r="H37" s="8" t="s">
        <v>166</v>
      </c>
      <c r="I37" s="7" t="s">
        <v>287</v>
      </c>
      <c r="J37" s="7" t="s">
        <v>281</v>
      </c>
      <c r="K37" s="13"/>
    </row>
    <row r="38" spans="1:11" ht="15" customHeight="1">
      <c r="A38" s="7" t="s">
        <v>276</v>
      </c>
      <c r="B38" s="4" t="s">
        <v>103</v>
      </c>
      <c r="C38" s="14" t="s">
        <v>232</v>
      </c>
      <c r="D38" s="4" t="s">
        <v>233</v>
      </c>
      <c r="E38" s="7" t="s">
        <v>277</v>
      </c>
      <c r="F38" s="7" t="s">
        <v>278</v>
      </c>
      <c r="G38" s="7" t="s">
        <v>286</v>
      </c>
      <c r="H38" s="8" t="s">
        <v>166</v>
      </c>
      <c r="I38" s="7" t="s">
        <v>280</v>
      </c>
      <c r="J38" s="7" t="s">
        <v>281</v>
      </c>
      <c r="K38" s="13"/>
    </row>
    <row r="39" spans="1:11" ht="15" customHeight="1">
      <c r="A39" s="7" t="s">
        <v>276</v>
      </c>
      <c r="B39" s="4" t="s">
        <v>103</v>
      </c>
      <c r="C39" s="14" t="s">
        <v>236</v>
      </c>
      <c r="D39" s="4" t="s">
        <v>169</v>
      </c>
      <c r="E39" s="7" t="s">
        <v>285</v>
      </c>
      <c r="F39" s="7" t="s">
        <v>288</v>
      </c>
      <c r="G39" s="7" t="s">
        <v>289</v>
      </c>
      <c r="H39" s="8" t="s">
        <v>166</v>
      </c>
      <c r="I39" s="7" t="s">
        <v>287</v>
      </c>
      <c r="J39" s="7" t="s">
        <v>281</v>
      </c>
      <c r="K39" s="13"/>
    </row>
    <row r="40" spans="1:11" ht="15" customHeight="1">
      <c r="A40" s="7" t="s">
        <v>276</v>
      </c>
      <c r="B40" s="4" t="s">
        <v>103</v>
      </c>
      <c r="C40" s="14" t="s">
        <v>239</v>
      </c>
      <c r="D40" s="4" t="s">
        <v>240</v>
      </c>
      <c r="E40" s="7" t="s">
        <v>285</v>
      </c>
      <c r="F40" s="7" t="s">
        <v>282</v>
      </c>
      <c r="G40" s="7" t="s">
        <v>111</v>
      </c>
      <c r="H40" s="8" t="s">
        <v>166</v>
      </c>
      <c r="I40" s="7" t="s">
        <v>287</v>
      </c>
      <c r="J40" s="7" t="s">
        <v>281</v>
      </c>
      <c r="K40" s="13"/>
    </row>
    <row r="41" spans="1:11" ht="15" customHeight="1">
      <c r="A41" s="7" t="s">
        <v>276</v>
      </c>
      <c r="B41" s="4" t="s">
        <v>103</v>
      </c>
      <c r="C41" s="14" t="s">
        <v>243</v>
      </c>
      <c r="D41" s="4" t="s">
        <v>240</v>
      </c>
      <c r="E41" s="7" t="s">
        <v>285</v>
      </c>
      <c r="F41" s="7" t="s">
        <v>278</v>
      </c>
      <c r="G41" s="7" t="s">
        <v>286</v>
      </c>
      <c r="H41" s="8" t="s">
        <v>166</v>
      </c>
      <c r="I41" s="7" t="s">
        <v>287</v>
      </c>
      <c r="J41" s="7" t="s">
        <v>281</v>
      </c>
      <c r="K41" s="13"/>
    </row>
    <row r="42" spans="1:11" ht="15" customHeight="1">
      <c r="A42" s="7" t="s">
        <v>276</v>
      </c>
      <c r="B42" s="4" t="s">
        <v>103</v>
      </c>
      <c r="C42" s="14" t="s">
        <v>246</v>
      </c>
      <c r="D42" s="4" t="s">
        <v>185</v>
      </c>
      <c r="E42" s="7" t="s">
        <v>277</v>
      </c>
      <c r="F42" s="7" t="s">
        <v>278</v>
      </c>
      <c r="G42" s="7" t="s">
        <v>286</v>
      </c>
      <c r="H42" s="8" t="s">
        <v>166</v>
      </c>
      <c r="I42" s="7" t="s">
        <v>280</v>
      </c>
      <c r="J42" s="7" t="s">
        <v>281</v>
      </c>
      <c r="K42" s="13"/>
    </row>
    <row r="43" spans="1:11" ht="15" customHeight="1">
      <c r="A43" s="7" t="s">
        <v>276</v>
      </c>
      <c r="B43" s="4" t="s">
        <v>103</v>
      </c>
      <c r="C43" s="14" t="s">
        <v>248</v>
      </c>
      <c r="D43" s="4" t="s">
        <v>197</v>
      </c>
      <c r="E43" s="7" t="s">
        <v>285</v>
      </c>
      <c r="F43" s="7" t="s">
        <v>278</v>
      </c>
      <c r="G43" s="7" t="s">
        <v>286</v>
      </c>
      <c r="H43" s="8" t="s">
        <v>166</v>
      </c>
      <c r="I43" s="7" t="s">
        <v>287</v>
      </c>
      <c r="J43" s="7" t="s">
        <v>281</v>
      </c>
      <c r="K43" s="13"/>
    </row>
    <row r="44" spans="1:11" ht="15" customHeight="1">
      <c r="A44" s="7" t="s">
        <v>276</v>
      </c>
      <c r="B44" s="4" t="s">
        <v>103</v>
      </c>
      <c r="C44" s="14" t="s">
        <v>251</v>
      </c>
      <c r="D44" s="4" t="s">
        <v>197</v>
      </c>
      <c r="E44" s="7" t="s">
        <v>285</v>
      </c>
      <c r="F44" s="7" t="s">
        <v>278</v>
      </c>
      <c r="G44" s="7" t="s">
        <v>286</v>
      </c>
      <c r="H44" s="8" t="s">
        <v>166</v>
      </c>
      <c r="I44" s="7" t="s">
        <v>287</v>
      </c>
      <c r="J44" s="7" t="s">
        <v>281</v>
      </c>
      <c r="K44" s="13"/>
    </row>
    <row r="45" spans="1:11" ht="15" customHeight="1">
      <c r="A45" s="7" t="s">
        <v>276</v>
      </c>
      <c r="B45" s="4" t="s">
        <v>103</v>
      </c>
      <c r="C45" s="14" t="s">
        <v>254</v>
      </c>
      <c r="D45" s="4" t="s">
        <v>201</v>
      </c>
      <c r="E45" s="7" t="s">
        <v>277</v>
      </c>
      <c r="F45" s="7" t="s">
        <v>282</v>
      </c>
      <c r="G45" s="7" t="s">
        <v>111</v>
      </c>
      <c r="H45" s="10" t="s">
        <v>283</v>
      </c>
      <c r="I45" s="7" t="s">
        <v>111</v>
      </c>
      <c r="J45" s="7" t="s">
        <v>284</v>
      </c>
      <c r="K45" s="13"/>
    </row>
    <row r="46" spans="1:11" ht="15" customHeight="1">
      <c r="A46" s="7" t="s">
        <v>276</v>
      </c>
      <c r="B46" s="4" t="s">
        <v>103</v>
      </c>
      <c r="C46" s="14" t="s">
        <v>256</v>
      </c>
      <c r="D46" s="4" t="s">
        <v>169</v>
      </c>
      <c r="E46" s="7" t="s">
        <v>285</v>
      </c>
      <c r="F46" s="7" t="s">
        <v>278</v>
      </c>
      <c r="G46" s="7" t="s">
        <v>286</v>
      </c>
      <c r="H46" s="8" t="s">
        <v>166</v>
      </c>
      <c r="I46" s="7" t="s">
        <v>287</v>
      </c>
      <c r="J46" s="7" t="s">
        <v>281</v>
      </c>
      <c r="K46" s="13"/>
    </row>
    <row r="47" spans="1:11" ht="15" customHeight="1">
      <c r="A47" s="7" t="s">
        <v>276</v>
      </c>
      <c r="B47" s="4" t="s">
        <v>103</v>
      </c>
      <c r="C47" s="14" t="s">
        <v>259</v>
      </c>
      <c r="D47" s="4" t="s">
        <v>197</v>
      </c>
      <c r="E47" s="7" t="s">
        <v>277</v>
      </c>
      <c r="F47" s="7" t="s">
        <v>282</v>
      </c>
      <c r="G47" s="7" t="s">
        <v>111</v>
      </c>
      <c r="H47" s="16" t="s">
        <v>213</v>
      </c>
      <c r="I47" s="7" t="s">
        <v>111</v>
      </c>
      <c r="J47" s="7" t="s">
        <v>281</v>
      </c>
      <c r="K47" s="13"/>
    </row>
    <row r="48" spans="1:11" ht="26.45" customHeight="1">
      <c r="A48" s="7" t="s">
        <v>290</v>
      </c>
      <c r="B48" s="4" t="s">
        <v>103</v>
      </c>
      <c r="C48" s="14" t="s">
        <v>225</v>
      </c>
      <c r="D48" s="4" t="s">
        <v>177</v>
      </c>
      <c r="E48" s="7" t="s">
        <v>285</v>
      </c>
      <c r="F48" s="7" t="s">
        <v>307</v>
      </c>
      <c r="G48" s="7" t="s">
        <v>308</v>
      </c>
      <c r="H48" s="8" t="s">
        <v>166</v>
      </c>
      <c r="I48" s="7" t="s">
        <v>287</v>
      </c>
      <c r="J48" s="7" t="s">
        <v>281</v>
      </c>
      <c r="K48" s="13"/>
    </row>
    <row r="49" spans="1:11" ht="15" customHeight="1">
      <c r="A49" s="7" t="s">
        <v>290</v>
      </c>
      <c r="B49" s="4" t="s">
        <v>103</v>
      </c>
      <c r="C49" s="14" t="s">
        <v>228</v>
      </c>
      <c r="D49" s="4" t="s">
        <v>229</v>
      </c>
      <c r="E49" s="7" t="s">
        <v>285</v>
      </c>
      <c r="F49" s="7" t="s">
        <v>309</v>
      </c>
      <c r="G49" s="7" t="s">
        <v>310</v>
      </c>
      <c r="H49" s="8" t="s">
        <v>166</v>
      </c>
      <c r="I49" s="7" t="s">
        <v>287</v>
      </c>
      <c r="J49" s="7" t="s">
        <v>281</v>
      </c>
      <c r="K49" s="13"/>
    </row>
    <row r="50" spans="1:11" ht="15" customHeight="1">
      <c r="A50" s="7" t="s">
        <v>290</v>
      </c>
      <c r="B50" s="4" t="s">
        <v>103</v>
      </c>
      <c r="C50" s="14" t="s">
        <v>232</v>
      </c>
      <c r="D50" s="4" t="s">
        <v>233</v>
      </c>
      <c r="E50" s="7" t="s">
        <v>277</v>
      </c>
      <c r="F50" s="7" t="s">
        <v>292</v>
      </c>
      <c r="G50" s="7" t="s">
        <v>311</v>
      </c>
      <c r="H50" s="8" t="s">
        <v>166</v>
      </c>
      <c r="I50" s="7" t="s">
        <v>280</v>
      </c>
      <c r="J50" s="7" t="s">
        <v>281</v>
      </c>
      <c r="K50" s="13"/>
    </row>
    <row r="51" spans="1:11" ht="26.45" customHeight="1">
      <c r="A51" s="7" t="s">
        <v>290</v>
      </c>
      <c r="B51" s="4" t="s">
        <v>103</v>
      </c>
      <c r="C51" s="14" t="s">
        <v>236</v>
      </c>
      <c r="D51" s="4" t="s">
        <v>169</v>
      </c>
      <c r="E51" s="7" t="s">
        <v>285</v>
      </c>
      <c r="F51" s="7" t="s">
        <v>300</v>
      </c>
      <c r="G51" s="7" t="s">
        <v>301</v>
      </c>
      <c r="H51" s="8" t="s">
        <v>166</v>
      </c>
      <c r="I51" s="7" t="s">
        <v>287</v>
      </c>
      <c r="J51" s="7" t="s">
        <v>281</v>
      </c>
      <c r="K51" s="13"/>
    </row>
    <row r="52" spans="1:11" ht="15" customHeight="1">
      <c r="A52" s="7" t="s">
        <v>290</v>
      </c>
      <c r="B52" s="4" t="s">
        <v>103</v>
      </c>
      <c r="C52" s="14" t="s">
        <v>239</v>
      </c>
      <c r="D52" s="4" t="s">
        <v>240</v>
      </c>
      <c r="E52" s="7" t="s">
        <v>285</v>
      </c>
      <c r="F52" s="7" t="s">
        <v>297</v>
      </c>
      <c r="G52" s="7" t="s">
        <v>312</v>
      </c>
      <c r="H52" s="8" t="s">
        <v>166</v>
      </c>
      <c r="I52" s="7" t="s">
        <v>287</v>
      </c>
      <c r="J52" s="7" t="s">
        <v>281</v>
      </c>
      <c r="K52" s="13"/>
    </row>
    <row r="53" spans="1:11" ht="15" customHeight="1">
      <c r="A53" s="7" t="s">
        <v>290</v>
      </c>
      <c r="B53" s="4" t="s">
        <v>103</v>
      </c>
      <c r="C53" s="14" t="s">
        <v>243</v>
      </c>
      <c r="D53" s="4" t="s">
        <v>240</v>
      </c>
      <c r="E53" s="7" t="s">
        <v>285</v>
      </c>
      <c r="F53" s="7" t="s">
        <v>294</v>
      </c>
      <c r="G53" s="7" t="s">
        <v>313</v>
      </c>
      <c r="H53" s="8" t="s">
        <v>166</v>
      </c>
      <c r="I53" s="7" t="s">
        <v>287</v>
      </c>
      <c r="J53" s="7" t="s">
        <v>281</v>
      </c>
      <c r="K53" s="13"/>
    </row>
    <row r="54" spans="1:11" ht="26.45" customHeight="1">
      <c r="A54" s="7" t="s">
        <v>290</v>
      </c>
      <c r="B54" s="4" t="s">
        <v>103</v>
      </c>
      <c r="C54" s="14" t="s">
        <v>246</v>
      </c>
      <c r="D54" s="4" t="s">
        <v>185</v>
      </c>
      <c r="E54" s="7" t="s">
        <v>277</v>
      </c>
      <c r="F54" s="7" t="s">
        <v>307</v>
      </c>
      <c r="G54" s="7" t="s">
        <v>308</v>
      </c>
      <c r="H54" s="8" t="s">
        <v>166</v>
      </c>
      <c r="I54" s="7" t="s">
        <v>280</v>
      </c>
      <c r="J54" s="7" t="s">
        <v>281</v>
      </c>
      <c r="K54" s="13"/>
    </row>
    <row r="55" spans="1:11" ht="26.45" customHeight="1">
      <c r="A55" s="7" t="s">
        <v>290</v>
      </c>
      <c r="B55" s="4" t="s">
        <v>103</v>
      </c>
      <c r="C55" s="14" t="s">
        <v>248</v>
      </c>
      <c r="D55" s="4" t="s">
        <v>197</v>
      </c>
      <c r="E55" s="7" t="s">
        <v>285</v>
      </c>
      <c r="F55" s="7" t="s">
        <v>314</v>
      </c>
      <c r="G55" s="7" t="s">
        <v>315</v>
      </c>
      <c r="H55" s="8" t="s">
        <v>166</v>
      </c>
      <c r="I55" s="7" t="s">
        <v>287</v>
      </c>
      <c r="J55" s="7" t="s">
        <v>281</v>
      </c>
      <c r="K55" s="13"/>
    </row>
    <row r="56" spans="1:11" ht="26.45" customHeight="1">
      <c r="A56" s="7" t="s">
        <v>290</v>
      </c>
      <c r="B56" s="4" t="s">
        <v>103</v>
      </c>
      <c r="C56" s="14" t="s">
        <v>251</v>
      </c>
      <c r="D56" s="4" t="s">
        <v>197</v>
      </c>
      <c r="E56" s="7" t="s">
        <v>285</v>
      </c>
      <c r="F56" s="7" t="s">
        <v>314</v>
      </c>
      <c r="G56" s="7" t="s">
        <v>315</v>
      </c>
      <c r="H56" s="8" t="s">
        <v>166</v>
      </c>
      <c r="I56" s="7" t="s">
        <v>287</v>
      </c>
      <c r="J56" s="7" t="s">
        <v>281</v>
      </c>
      <c r="K56" s="13"/>
    </row>
    <row r="57" spans="1:11" ht="15" customHeight="1">
      <c r="A57" s="7" t="s">
        <v>290</v>
      </c>
      <c r="B57" s="4" t="s">
        <v>103</v>
      </c>
      <c r="C57" s="14" t="s">
        <v>254</v>
      </c>
      <c r="D57" s="4" t="s">
        <v>201</v>
      </c>
      <c r="E57" s="7" t="s">
        <v>277</v>
      </c>
      <c r="F57" s="7" t="s">
        <v>291</v>
      </c>
      <c r="G57" s="7" t="s">
        <v>302</v>
      </c>
      <c r="H57" s="8" t="s">
        <v>166</v>
      </c>
      <c r="I57" s="7" t="s">
        <v>203</v>
      </c>
      <c r="J57" s="7" t="s">
        <v>281</v>
      </c>
      <c r="K57" s="13"/>
    </row>
    <row r="58" spans="1:11" ht="15" customHeight="1">
      <c r="A58" s="7" t="s">
        <v>290</v>
      </c>
      <c r="B58" s="4" t="s">
        <v>103</v>
      </c>
      <c r="C58" s="14" t="s">
        <v>256</v>
      </c>
      <c r="D58" s="4" t="s">
        <v>169</v>
      </c>
      <c r="E58" s="7" t="s">
        <v>285</v>
      </c>
      <c r="F58" s="7" t="s">
        <v>309</v>
      </c>
      <c r="G58" s="7" t="s">
        <v>310</v>
      </c>
      <c r="H58" s="8" t="s">
        <v>166</v>
      </c>
      <c r="I58" s="7" t="s">
        <v>287</v>
      </c>
      <c r="J58" s="7" t="s">
        <v>281</v>
      </c>
      <c r="K58" s="13"/>
    </row>
    <row r="59" spans="1:11" ht="15" customHeight="1">
      <c r="A59" s="7" t="s">
        <v>290</v>
      </c>
      <c r="B59" s="4" t="s">
        <v>103</v>
      </c>
      <c r="C59" s="14" t="s">
        <v>259</v>
      </c>
      <c r="D59" s="4" t="s">
        <v>197</v>
      </c>
      <c r="E59" s="7" t="s">
        <v>277</v>
      </c>
      <c r="F59" s="7" t="s">
        <v>303</v>
      </c>
      <c r="G59" s="7" t="s">
        <v>111</v>
      </c>
      <c r="H59" s="16" t="s">
        <v>213</v>
      </c>
      <c r="I59" s="7" t="s">
        <v>111</v>
      </c>
      <c r="J59" s="7" t="s">
        <v>281</v>
      </c>
      <c r="K59" s="13"/>
    </row>
    <row r="60" spans="1:11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71.6" customHeight="1">
      <c r="A61" s="17" t="s">
        <v>316</v>
      </c>
      <c r="B61" s="4"/>
      <c r="C61" s="4"/>
      <c r="D61" s="4"/>
      <c r="E61" s="4"/>
      <c r="F61" s="4"/>
      <c r="G61" s="4"/>
      <c r="H61" s="4"/>
      <c r="I61" s="4"/>
      <c r="J61" s="4"/>
      <c r="K61" s="4"/>
    </row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showGridLines="0" workbookViewId="0"/>
  </sheetViews>
  <sheetFormatPr defaultColWidth="8.7109375" defaultRowHeight="15"/>
  <cols>
    <col min="1" max="1" width="13" style="1" customWidth="1"/>
    <col min="2" max="2" width="27" style="1" customWidth="1"/>
    <col min="3" max="3" width="12" style="1" customWidth="1"/>
    <col min="4" max="4" width="11" style="1" customWidth="1"/>
    <col min="5" max="5" width="12" style="1" customWidth="1"/>
    <col min="6" max="6" width="13" style="1" customWidth="1"/>
    <col min="7" max="7" width="11" style="1" customWidth="1"/>
    <col min="8" max="8" width="13" style="1" customWidth="1"/>
    <col min="9" max="9" width="15" style="1" customWidth="1"/>
    <col min="10" max="10" width="12" style="1" customWidth="1"/>
    <col min="11" max="13" width="18" style="1" customWidth="1"/>
    <col min="14" max="16384" width="8.7109375" style="1"/>
  </cols>
  <sheetData>
    <row r="1" spans="1:13" ht="15" customHeight="1">
      <c r="A1" s="38" t="s">
        <v>317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5" customHeight="1">
      <c r="A2" s="39" t="s">
        <v>318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4" spans="1:13" ht="15" customHeight="1">
      <c r="A4" s="18" t="s">
        <v>319</v>
      </c>
      <c r="C4" s="19">
        <v>0.8</v>
      </c>
      <c r="D4" s="20" t="s">
        <v>320</v>
      </c>
    </row>
    <row r="6" spans="1:13" ht="15" customHeight="1">
      <c r="A6" s="2" t="s">
        <v>267</v>
      </c>
      <c r="B6" s="2" t="s">
        <v>157</v>
      </c>
      <c r="C6" s="2" t="s">
        <v>321</v>
      </c>
      <c r="D6" s="2" t="s">
        <v>166</v>
      </c>
      <c r="E6" s="2" t="s">
        <v>283</v>
      </c>
      <c r="F6" s="2" t="s">
        <v>213</v>
      </c>
      <c r="G6" s="2" t="s">
        <v>322</v>
      </c>
      <c r="H6" s="2" t="s">
        <v>323</v>
      </c>
      <c r="I6" s="2" t="s">
        <v>324</v>
      </c>
      <c r="J6" s="2" t="s">
        <v>272</v>
      </c>
      <c r="K6" s="2" t="s">
        <v>325</v>
      </c>
      <c r="L6" s="2" t="s">
        <v>326</v>
      </c>
      <c r="M6" s="2" t="s">
        <v>327</v>
      </c>
    </row>
    <row r="7" spans="1:13" ht="15" customHeight="1">
      <c r="A7" s="14" t="s">
        <v>276</v>
      </c>
      <c r="B7" s="4" t="s">
        <v>99</v>
      </c>
      <c r="C7" s="7">
        <f>COUNTIFS('04_Mutation_Execution'!$A$4:$A$59,$A7,'04_Mutation_Execution'!$B$4:$B$59,$B7)</f>
        <v>16</v>
      </c>
      <c r="D7" s="7">
        <f>COUNTIFS('04_Mutation_Execution'!$A$4:$A$59,$A7,'04_Mutation_Execution'!$B$4:$B$59,$B7,'04_Mutation_Execution'!$H$4:$H$59,"KILLED")</f>
        <v>10</v>
      </c>
      <c r="E7" s="7">
        <f>COUNTIFS('04_Mutation_Execution'!$A$4:$A$59,$A7,'04_Mutation_Execution'!$B$4:$B$59,$B7,'04_Mutation_Execution'!$H$4:$H$59,"SURVIVED")</f>
        <v>5</v>
      </c>
      <c r="F7" s="7">
        <f>COUNTIFS('04_Mutation_Execution'!$A$4:$A$59,$A7,'04_Mutation_Execution'!$B$4:$B$59,$B7,'04_Mutation_Execution'!$H$4:$H$59,"EQUIVALENT")</f>
        <v>1</v>
      </c>
      <c r="G7" s="7">
        <f>COUNTIFS('04_Mutation_Execution'!$A$4:$A$59,$A7,'04_Mutation_Execution'!$B$4:$B$59,$B7,'04_Mutation_Execution'!$H$4:$H$59,"INVALID")</f>
        <v>0</v>
      </c>
      <c r="H7" s="7">
        <f>D7+E7</f>
        <v>15</v>
      </c>
      <c r="I7" s="15">
        <f>IF(H7=0,0,D7/H7)</f>
        <v>0.66666666666666663</v>
      </c>
      <c r="J7" s="10" t="str">
        <f>IF(I7&gt;=$C$4,"PASS","FAIL")</f>
        <v>FAIL</v>
      </c>
      <c r="K7" s="7">
        <f>COUNTIFS('04_Mutation_Execution'!$A$4:$A$59,$A7,'04_Mutation_Execution'!$B$4:$B$59,$B7,'04_Mutation_Execution'!$H$4:$H$59,"KILLED",'04_Mutation_Execution'!$I$4:$I$59,"SAMPLE")</f>
        <v>6</v>
      </c>
      <c r="L7" s="7">
        <f>COUNTIFS('04_Mutation_Execution'!$A$4:$A$59,$A7,'04_Mutation_Execution'!$B$4:$B$59,$B7,'04_Mutation_Execution'!$H$4:$H$59,"KILLED",'04_Mutation_Execution'!$I$4:$I$59,"HIDDEN")</f>
        <v>4</v>
      </c>
      <c r="M7" s="7">
        <f>COUNTIFS('04_Mutation_Execution'!$A$4:$A$59,$A7,'04_Mutation_Execution'!$B$4:$B$59,$B7,'04_Mutation_Execution'!$H$4:$H$59,"KILLED",'04_Mutation_Execution'!$I$4:$I$59,"TIMEOUT")</f>
        <v>0</v>
      </c>
    </row>
    <row r="8" spans="1:13" ht="15" customHeight="1">
      <c r="A8" s="14" t="s">
        <v>290</v>
      </c>
      <c r="B8" s="4" t="s">
        <v>99</v>
      </c>
      <c r="C8" s="7">
        <f>COUNTIFS('04_Mutation_Execution'!$A$4:$A$59,$A8,'04_Mutation_Execution'!$B$4:$B$59,$B8)</f>
        <v>16</v>
      </c>
      <c r="D8" s="7">
        <f>COUNTIFS('04_Mutation_Execution'!$A$4:$A$59,$A8,'04_Mutation_Execution'!$B$4:$B$59,$B8,'04_Mutation_Execution'!$H$4:$H$59,"KILLED")</f>
        <v>15</v>
      </c>
      <c r="E8" s="7">
        <f>COUNTIFS('04_Mutation_Execution'!$A$4:$A$59,$A8,'04_Mutation_Execution'!$B$4:$B$59,$B8,'04_Mutation_Execution'!$H$4:$H$59,"SURVIVED")</f>
        <v>0</v>
      </c>
      <c r="F8" s="7">
        <f>COUNTIFS('04_Mutation_Execution'!$A$4:$A$59,$A8,'04_Mutation_Execution'!$B$4:$B$59,$B8,'04_Mutation_Execution'!$H$4:$H$59,"EQUIVALENT")</f>
        <v>1</v>
      </c>
      <c r="G8" s="7">
        <f>COUNTIFS('04_Mutation_Execution'!$A$4:$A$59,$A8,'04_Mutation_Execution'!$B$4:$B$59,$B8,'04_Mutation_Execution'!$H$4:$H$59,"INVALID")</f>
        <v>0</v>
      </c>
      <c r="H8" s="7">
        <f>D8+E8</f>
        <v>15</v>
      </c>
      <c r="I8" s="15">
        <f>IF(H8=0,0,D8/H8)</f>
        <v>1</v>
      </c>
      <c r="J8" s="8" t="str">
        <f>IF(I8&gt;=$C$4,"PASS","FAIL")</f>
        <v>PASS</v>
      </c>
      <c r="K8" s="7">
        <f>COUNTIFS('04_Mutation_Execution'!$A$4:$A$59,$A8,'04_Mutation_Execution'!$B$4:$B$59,$B8,'04_Mutation_Execution'!$H$4:$H$59,"KILLED",'04_Mutation_Execution'!$I$4:$I$59,"SAMPLE")</f>
        <v>6</v>
      </c>
      <c r="L8" s="7">
        <f>COUNTIFS('04_Mutation_Execution'!$A$4:$A$59,$A8,'04_Mutation_Execution'!$B$4:$B$59,$B8,'04_Mutation_Execution'!$H$4:$H$59,"KILLED",'04_Mutation_Execution'!$I$4:$I$59,"HIDDEN")</f>
        <v>8</v>
      </c>
      <c r="M8" s="7">
        <f>COUNTIFS('04_Mutation_Execution'!$A$4:$A$59,$A8,'04_Mutation_Execution'!$B$4:$B$59,$B8,'04_Mutation_Execution'!$H$4:$H$59,"KILLED",'04_Mutation_Execution'!$I$4:$I$59,"TIMEOUT")</f>
        <v>1</v>
      </c>
    </row>
    <row r="9" spans="1:13" ht="15" customHeight="1">
      <c r="A9" s="14" t="s">
        <v>276</v>
      </c>
      <c r="B9" s="4" t="s">
        <v>103</v>
      </c>
      <c r="C9" s="7">
        <f>COUNTIFS('04_Mutation_Execution'!$A$4:$A$59,$A9,'04_Mutation_Execution'!$B$4:$B$59,$B9)</f>
        <v>12</v>
      </c>
      <c r="D9" s="7">
        <f>COUNTIFS('04_Mutation_Execution'!$A$4:$A$59,$A9,'04_Mutation_Execution'!$B$4:$B$59,$B9,'04_Mutation_Execution'!$H$4:$H$59,"KILLED")</f>
        <v>10</v>
      </c>
      <c r="E9" s="7">
        <f>COUNTIFS('04_Mutation_Execution'!$A$4:$A$59,$A9,'04_Mutation_Execution'!$B$4:$B$59,$B9,'04_Mutation_Execution'!$H$4:$H$59,"SURVIVED")</f>
        <v>1</v>
      </c>
      <c r="F9" s="7">
        <f>COUNTIFS('04_Mutation_Execution'!$A$4:$A$59,$A9,'04_Mutation_Execution'!$B$4:$B$59,$B9,'04_Mutation_Execution'!$H$4:$H$59,"EQUIVALENT")</f>
        <v>1</v>
      </c>
      <c r="G9" s="7">
        <f>COUNTIFS('04_Mutation_Execution'!$A$4:$A$59,$A9,'04_Mutation_Execution'!$B$4:$B$59,$B9,'04_Mutation_Execution'!$H$4:$H$59,"INVALID")</f>
        <v>0</v>
      </c>
      <c r="H9" s="7">
        <f>D9+E9</f>
        <v>11</v>
      </c>
      <c r="I9" s="15">
        <f>IF(H9=0,0,D9/H9)</f>
        <v>0.90909090909090906</v>
      </c>
      <c r="J9" s="8" t="str">
        <f>IF(I9&gt;=$C$4,"PASS","FAIL")</f>
        <v>PASS</v>
      </c>
      <c r="K9" s="7">
        <f>COUNTIFS('04_Mutation_Execution'!$A$4:$A$59,$A9,'04_Mutation_Execution'!$B$4:$B$59,$B9,'04_Mutation_Execution'!$H$4:$H$59,"KILLED",'04_Mutation_Execution'!$I$4:$I$59,"SAMPLE")</f>
        <v>8</v>
      </c>
      <c r="L9" s="7">
        <f>COUNTIFS('04_Mutation_Execution'!$A$4:$A$59,$A9,'04_Mutation_Execution'!$B$4:$B$59,$B9,'04_Mutation_Execution'!$H$4:$H$59,"KILLED",'04_Mutation_Execution'!$I$4:$I$59,"HIDDEN")</f>
        <v>2</v>
      </c>
      <c r="M9" s="7">
        <f>COUNTIFS('04_Mutation_Execution'!$A$4:$A$59,$A9,'04_Mutation_Execution'!$B$4:$B$59,$B9,'04_Mutation_Execution'!$H$4:$H$59,"KILLED",'04_Mutation_Execution'!$I$4:$I$59,"TIMEOUT")</f>
        <v>0</v>
      </c>
    </row>
    <row r="10" spans="1:13" ht="15" customHeight="1">
      <c r="A10" s="14" t="s">
        <v>290</v>
      </c>
      <c r="B10" s="4" t="s">
        <v>103</v>
      </c>
      <c r="C10" s="7">
        <f>COUNTIFS('04_Mutation_Execution'!$A$4:$A$59,$A10,'04_Mutation_Execution'!$B$4:$B$59,$B10)</f>
        <v>12</v>
      </c>
      <c r="D10" s="7">
        <f>COUNTIFS('04_Mutation_Execution'!$A$4:$A$59,$A10,'04_Mutation_Execution'!$B$4:$B$59,$B10,'04_Mutation_Execution'!$H$4:$H$59,"KILLED")</f>
        <v>11</v>
      </c>
      <c r="E10" s="7">
        <f>COUNTIFS('04_Mutation_Execution'!$A$4:$A$59,$A10,'04_Mutation_Execution'!$B$4:$B$59,$B10,'04_Mutation_Execution'!$H$4:$H$59,"SURVIVED")</f>
        <v>0</v>
      </c>
      <c r="F10" s="7">
        <f>COUNTIFS('04_Mutation_Execution'!$A$4:$A$59,$A10,'04_Mutation_Execution'!$B$4:$B$59,$B10,'04_Mutation_Execution'!$H$4:$H$59,"EQUIVALENT")</f>
        <v>1</v>
      </c>
      <c r="G10" s="7">
        <f>COUNTIFS('04_Mutation_Execution'!$A$4:$A$59,$A10,'04_Mutation_Execution'!$B$4:$B$59,$B10,'04_Mutation_Execution'!$H$4:$H$59,"INVALID")</f>
        <v>0</v>
      </c>
      <c r="H10" s="7">
        <f>D10+E10</f>
        <v>11</v>
      </c>
      <c r="I10" s="15">
        <f>IF(H10=0,0,D10/H10)</f>
        <v>1</v>
      </c>
      <c r="J10" s="8" t="str">
        <f>IF(I10&gt;=$C$4,"PASS","FAIL")</f>
        <v>PASS</v>
      </c>
      <c r="K10" s="7">
        <f>COUNTIFS('04_Mutation_Execution'!$A$4:$A$59,$A10,'04_Mutation_Execution'!$B$4:$B$59,$B10,'04_Mutation_Execution'!$H$4:$H$59,"KILLED",'04_Mutation_Execution'!$I$4:$I$59,"SAMPLE")</f>
        <v>8</v>
      </c>
      <c r="L10" s="7">
        <f>COUNTIFS('04_Mutation_Execution'!$A$4:$A$59,$A10,'04_Mutation_Execution'!$B$4:$B$59,$B10,'04_Mutation_Execution'!$H$4:$H$59,"KILLED",'04_Mutation_Execution'!$I$4:$I$59,"HIDDEN")</f>
        <v>2</v>
      </c>
      <c r="M10" s="7">
        <f>COUNTIFS('04_Mutation_Execution'!$A$4:$A$59,$A10,'04_Mutation_Execution'!$B$4:$B$59,$B10,'04_Mutation_Execution'!$H$4:$H$59,"KILLED",'04_Mutation_Execution'!$I$4:$I$59,"TIMEOUT")</f>
        <v>1</v>
      </c>
    </row>
    <row r="11" spans="1:13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66" customHeight="1">
      <c r="A12" s="6" t="s">
        <v>328</v>
      </c>
      <c r="B12" s="4" t="s">
        <v>329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" customHeight="1">
      <c r="A14" s="42" t="s">
        <v>330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ht="39.6" customHeight="1">
      <c r="A15" s="21" t="s">
        <v>157</v>
      </c>
      <c r="B15" s="21" t="s">
        <v>268</v>
      </c>
      <c r="C15" s="21" t="s">
        <v>269</v>
      </c>
      <c r="D15" s="21" t="s">
        <v>331</v>
      </c>
      <c r="E15" s="21" t="s">
        <v>332</v>
      </c>
      <c r="F15" s="4"/>
      <c r="G15" s="4"/>
      <c r="H15" s="4"/>
      <c r="I15" s="4"/>
      <c r="J15" s="4"/>
      <c r="K15" s="4"/>
      <c r="L15" s="4"/>
      <c r="M15" s="4"/>
    </row>
    <row r="16" spans="1:13" ht="118.9" customHeight="1">
      <c r="A16" s="4" t="s">
        <v>99</v>
      </c>
      <c r="B16" s="14" t="s">
        <v>168</v>
      </c>
      <c r="C16" s="4" t="s">
        <v>169</v>
      </c>
      <c r="D16" s="4" t="s">
        <v>333</v>
      </c>
      <c r="E16" s="7" t="s">
        <v>334</v>
      </c>
      <c r="F16" s="4"/>
      <c r="G16" s="4"/>
      <c r="H16" s="4"/>
      <c r="I16" s="4"/>
      <c r="J16" s="4"/>
      <c r="K16" s="4"/>
      <c r="L16" s="4"/>
      <c r="M16" s="4"/>
    </row>
    <row r="17" spans="1:13" ht="92.45" customHeight="1">
      <c r="A17" s="4" t="s">
        <v>99</v>
      </c>
      <c r="B17" s="14" t="s">
        <v>192</v>
      </c>
      <c r="C17" s="4" t="s">
        <v>193</v>
      </c>
      <c r="D17" s="4" t="s">
        <v>335</v>
      </c>
      <c r="E17" s="7" t="s">
        <v>334</v>
      </c>
      <c r="F17" s="4"/>
      <c r="G17" s="4"/>
      <c r="H17" s="4"/>
      <c r="I17" s="4"/>
      <c r="J17" s="4"/>
      <c r="K17" s="4"/>
      <c r="L17" s="4"/>
      <c r="M17" s="4"/>
    </row>
    <row r="18" spans="1:13" ht="145.15" customHeight="1">
      <c r="A18" s="4" t="s">
        <v>99</v>
      </c>
      <c r="B18" s="14" t="s">
        <v>200</v>
      </c>
      <c r="C18" s="4" t="s">
        <v>201</v>
      </c>
      <c r="D18" s="4" t="s">
        <v>336</v>
      </c>
      <c r="E18" s="7" t="s">
        <v>337</v>
      </c>
      <c r="F18" s="4"/>
      <c r="G18" s="4"/>
      <c r="H18" s="4"/>
      <c r="I18" s="4"/>
      <c r="J18" s="4"/>
      <c r="K18" s="4"/>
      <c r="L18" s="4"/>
      <c r="M18" s="4"/>
    </row>
    <row r="19" spans="1:13" ht="79.150000000000006" customHeight="1">
      <c r="A19" s="4" t="s">
        <v>99</v>
      </c>
      <c r="B19" s="14" t="s">
        <v>219</v>
      </c>
      <c r="C19" s="4" t="s">
        <v>220</v>
      </c>
      <c r="D19" s="4" t="s">
        <v>338</v>
      </c>
      <c r="E19" s="7" t="s">
        <v>334</v>
      </c>
      <c r="F19" s="4"/>
      <c r="G19" s="4"/>
      <c r="H19" s="4"/>
      <c r="I19" s="4"/>
      <c r="J19" s="4"/>
      <c r="K19" s="4"/>
      <c r="L19" s="4"/>
      <c r="M19" s="4"/>
    </row>
    <row r="20" spans="1:13" ht="66" customHeight="1">
      <c r="A20" s="4" t="s">
        <v>99</v>
      </c>
      <c r="B20" s="14" t="s">
        <v>222</v>
      </c>
      <c r="C20" s="4" t="s">
        <v>164</v>
      </c>
      <c r="D20" s="4" t="s">
        <v>339</v>
      </c>
      <c r="E20" s="7" t="s">
        <v>334</v>
      </c>
      <c r="F20" s="4"/>
      <c r="G20" s="4"/>
      <c r="H20" s="4"/>
      <c r="I20" s="4"/>
      <c r="J20" s="4"/>
      <c r="K20" s="4"/>
      <c r="L20" s="4"/>
      <c r="M20" s="4"/>
    </row>
    <row r="21" spans="1:13" ht="92.45" customHeight="1">
      <c r="A21" s="4" t="s">
        <v>103</v>
      </c>
      <c r="B21" s="14" t="s">
        <v>254</v>
      </c>
      <c r="C21" s="4" t="s">
        <v>201</v>
      </c>
      <c r="D21" s="4" t="s">
        <v>340</v>
      </c>
      <c r="E21" s="7" t="s">
        <v>337</v>
      </c>
      <c r="F21" s="4"/>
      <c r="G21" s="4"/>
      <c r="H21" s="4"/>
      <c r="I21" s="4"/>
      <c r="J21" s="4"/>
      <c r="K21" s="4"/>
      <c r="L21" s="4"/>
      <c r="M21" s="4"/>
    </row>
  </sheetData>
  <mergeCells count="3">
    <mergeCell ref="A1:M1"/>
    <mergeCell ref="A2:M2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showGridLines="0" workbookViewId="0"/>
  </sheetViews>
  <sheetFormatPr defaultColWidth="8.7109375" defaultRowHeight="15"/>
  <cols>
    <col min="1" max="1" width="12" style="1" customWidth="1"/>
    <col min="2" max="2" width="18" style="1" customWidth="1"/>
    <col min="3" max="3" width="50" style="1" customWidth="1"/>
    <col min="4" max="4" width="46" style="1" customWidth="1"/>
    <col min="5" max="5" width="24" style="1" customWidth="1"/>
    <col min="6" max="6" width="40" style="1" customWidth="1"/>
    <col min="7" max="8" width="22" style="1" customWidth="1"/>
    <col min="9" max="9" width="24" style="1" customWidth="1"/>
    <col min="10" max="16384" width="8.7109375" style="1"/>
  </cols>
  <sheetData>
    <row r="1" spans="1:9" ht="15" customHeight="1">
      <c r="A1" s="38" t="s">
        <v>341</v>
      </c>
      <c r="B1" s="38"/>
      <c r="C1" s="38"/>
      <c r="D1" s="38"/>
      <c r="E1" s="38"/>
      <c r="F1" s="38"/>
      <c r="G1" s="38"/>
      <c r="H1" s="38"/>
      <c r="I1" s="38"/>
    </row>
    <row r="2" spans="1:9" ht="15" customHeight="1">
      <c r="A2" s="39" t="s">
        <v>342</v>
      </c>
      <c r="B2" s="39"/>
      <c r="C2" s="39"/>
      <c r="D2" s="39"/>
      <c r="E2" s="39"/>
      <c r="F2" s="39"/>
      <c r="G2" s="39"/>
      <c r="H2" s="39"/>
      <c r="I2" s="39"/>
    </row>
    <row r="3" spans="1:9" ht="15" customHeight="1">
      <c r="A3" s="2" t="s">
        <v>156</v>
      </c>
      <c r="B3" s="2" t="s">
        <v>343</v>
      </c>
      <c r="C3" s="2" t="s">
        <v>344</v>
      </c>
      <c r="D3" s="2" t="s">
        <v>345</v>
      </c>
      <c r="E3" s="2" t="s">
        <v>346</v>
      </c>
      <c r="F3" s="2" t="s">
        <v>347</v>
      </c>
      <c r="G3" s="2" t="s">
        <v>348</v>
      </c>
      <c r="H3" s="2" t="s">
        <v>40</v>
      </c>
    </row>
    <row r="4" spans="1:9" ht="52.7" customHeight="1">
      <c r="A4" s="14" t="s">
        <v>349</v>
      </c>
      <c r="B4" s="10" t="s">
        <v>350</v>
      </c>
      <c r="C4" s="4" t="s">
        <v>351</v>
      </c>
      <c r="D4" s="4" t="s">
        <v>352</v>
      </c>
      <c r="E4" s="4" t="s">
        <v>353</v>
      </c>
      <c r="F4" s="4" t="s">
        <v>354</v>
      </c>
      <c r="G4" s="13"/>
      <c r="H4" s="7" t="s">
        <v>355</v>
      </c>
    </row>
    <row r="5" spans="1:9" ht="39.6" customHeight="1">
      <c r="A5" s="14" t="s">
        <v>356</v>
      </c>
      <c r="B5" s="12" t="s">
        <v>357</v>
      </c>
      <c r="C5" s="4" t="s">
        <v>358</v>
      </c>
      <c r="D5" s="4" t="s">
        <v>359</v>
      </c>
      <c r="E5" s="4" t="s">
        <v>360</v>
      </c>
      <c r="F5" s="4" t="s">
        <v>361</v>
      </c>
      <c r="G5" s="13"/>
      <c r="H5" s="7" t="s">
        <v>362</v>
      </c>
    </row>
    <row r="6" spans="1:9" ht="26.45" customHeight="1">
      <c r="A6" s="14" t="s">
        <v>363</v>
      </c>
      <c r="B6" s="7" t="s">
        <v>364</v>
      </c>
      <c r="C6" s="4" t="s">
        <v>365</v>
      </c>
      <c r="D6" s="4" t="s">
        <v>366</v>
      </c>
      <c r="E6" s="4" t="s">
        <v>360</v>
      </c>
      <c r="F6" s="4" t="s">
        <v>367</v>
      </c>
      <c r="G6" s="13"/>
      <c r="H6" s="7" t="s">
        <v>362</v>
      </c>
    </row>
    <row r="7" spans="1:9" ht="99.75">
      <c r="A7" s="14" t="s">
        <v>368</v>
      </c>
      <c r="B7" s="10" t="s">
        <v>369</v>
      </c>
      <c r="C7" s="4" t="s">
        <v>370</v>
      </c>
      <c r="D7" s="4" t="s">
        <v>371</v>
      </c>
      <c r="E7" s="4" t="s">
        <v>372</v>
      </c>
      <c r="F7" s="4" t="s">
        <v>373</v>
      </c>
      <c r="G7" s="13"/>
      <c r="H7" s="7" t="s">
        <v>374</v>
      </c>
    </row>
    <row r="8" spans="1:9" ht="60.75" customHeight="1">
      <c r="A8" s="14" t="s">
        <v>375</v>
      </c>
      <c r="B8" s="12" t="s">
        <v>357</v>
      </c>
      <c r="C8" s="4" t="s">
        <v>376</v>
      </c>
      <c r="D8" s="4" t="s">
        <v>377</v>
      </c>
      <c r="E8" s="4" t="s">
        <v>378</v>
      </c>
      <c r="F8" s="4" t="s">
        <v>379</v>
      </c>
      <c r="G8" s="13"/>
      <c r="H8" s="7" t="s">
        <v>380</v>
      </c>
    </row>
    <row r="9" spans="1:9" ht="54" customHeight="1">
      <c r="A9" s="14" t="s">
        <v>381</v>
      </c>
      <c r="B9" s="5" t="s">
        <v>382</v>
      </c>
      <c r="C9" s="4" t="s">
        <v>383</v>
      </c>
      <c r="D9" s="4" t="s">
        <v>384</v>
      </c>
      <c r="E9" s="4" t="s">
        <v>385</v>
      </c>
      <c r="F9" s="4" t="s">
        <v>386</v>
      </c>
      <c r="G9" s="13"/>
      <c r="H9" s="7" t="s">
        <v>387</v>
      </c>
    </row>
    <row r="10" spans="1:9" ht="39.6" customHeight="1">
      <c r="A10" s="14" t="s">
        <v>388</v>
      </c>
      <c r="B10" s="5" t="s">
        <v>389</v>
      </c>
      <c r="C10" s="4" t="s">
        <v>390</v>
      </c>
      <c r="D10" s="4" t="s">
        <v>391</v>
      </c>
      <c r="E10" s="4" t="s">
        <v>392</v>
      </c>
      <c r="F10" s="4" t="s">
        <v>393</v>
      </c>
      <c r="G10" s="13"/>
      <c r="H10" s="7" t="s">
        <v>394</v>
      </c>
    </row>
    <row r="11" spans="1:9" ht="52.7" customHeight="1">
      <c r="A11" s="14" t="s">
        <v>395</v>
      </c>
      <c r="B11" s="10" t="s">
        <v>396</v>
      </c>
      <c r="C11" s="4" t="s">
        <v>397</v>
      </c>
      <c r="D11" s="4" t="s">
        <v>398</v>
      </c>
      <c r="E11" s="4" t="s">
        <v>399</v>
      </c>
      <c r="F11" s="4" t="s">
        <v>400</v>
      </c>
      <c r="G11" s="13"/>
      <c r="H11" s="7" t="s">
        <v>374</v>
      </c>
    </row>
    <row r="12" spans="1:9" ht="39.6" customHeight="1">
      <c r="A12" s="14" t="s">
        <v>401</v>
      </c>
      <c r="B12" s="7" t="s">
        <v>402</v>
      </c>
      <c r="C12" s="4" t="s">
        <v>403</v>
      </c>
      <c r="D12" s="4" t="s">
        <v>404</v>
      </c>
      <c r="E12" s="4" t="s">
        <v>405</v>
      </c>
      <c r="F12" s="4" t="s">
        <v>111</v>
      </c>
      <c r="G12" s="4"/>
      <c r="H12" s="4" t="s">
        <v>406</v>
      </c>
      <c r="I12" s="7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tabSelected="1" workbookViewId="0">
      <selection sqref="A1:C1"/>
    </sheetView>
  </sheetViews>
  <sheetFormatPr defaultRowHeight="15"/>
  <cols>
    <col min="1" max="1" width="12" customWidth="1"/>
    <col min="2" max="2" width="34" customWidth="1"/>
    <col min="3" max="3" width="44" customWidth="1"/>
  </cols>
  <sheetData>
    <row r="1" spans="1:3" ht="30" customHeight="1">
      <c r="A1" s="43" t="s">
        <v>413</v>
      </c>
      <c r="B1" s="43"/>
      <c r="C1" s="43"/>
    </row>
    <row r="2" spans="1:3" ht="27.95" customHeight="1">
      <c r="A2" s="44" t="s">
        <v>414</v>
      </c>
      <c r="B2" s="44"/>
      <c r="C2" s="44"/>
    </row>
    <row r="4" spans="1:3" ht="15" customHeight="1">
      <c r="A4" s="41" t="s">
        <v>415</v>
      </c>
      <c r="B4" s="41"/>
      <c r="C4" s="41"/>
    </row>
    <row r="5" spans="1:3" ht="15" customHeight="1">
      <c r="A5" s="22" t="s">
        <v>416</v>
      </c>
      <c r="B5" s="22" t="s">
        <v>417</v>
      </c>
      <c r="C5" s="22" t="s">
        <v>418</v>
      </c>
    </row>
    <row r="6" spans="1:3" ht="15" customHeight="1">
      <c r="A6" s="23" t="s">
        <v>419</v>
      </c>
      <c r="B6" s="24" t="s">
        <v>420</v>
      </c>
      <c r="C6" s="25" t="s">
        <v>421</v>
      </c>
    </row>
    <row r="7" spans="1:3" ht="15" customHeight="1">
      <c r="A7" s="32" t="s">
        <v>93</v>
      </c>
      <c r="B7" s="33" t="s">
        <v>422</v>
      </c>
      <c r="C7" s="34" t="s">
        <v>423</v>
      </c>
    </row>
    <row r="8" spans="1:3" ht="15" customHeight="1">
      <c r="A8" s="26" t="s">
        <v>424</v>
      </c>
      <c r="B8" s="27" t="s">
        <v>425</v>
      </c>
      <c r="C8" s="28" t="s">
        <v>426</v>
      </c>
    </row>
    <row r="9" spans="1:3" ht="15" customHeight="1">
      <c r="A9" s="26" t="s">
        <v>427</v>
      </c>
      <c r="B9" s="27" t="s">
        <v>428</v>
      </c>
      <c r="C9" s="28" t="s">
        <v>429</v>
      </c>
    </row>
    <row r="10" spans="1:3" ht="15" customHeight="1">
      <c r="A10" s="26" t="s">
        <v>430</v>
      </c>
      <c r="B10" s="27" t="s">
        <v>431</v>
      </c>
      <c r="C10" s="28" t="s">
        <v>432</v>
      </c>
    </row>
    <row r="11" spans="1:3" ht="15" customHeight="1">
      <c r="A11" s="26" t="s">
        <v>433</v>
      </c>
      <c r="B11" s="27" t="s">
        <v>434</v>
      </c>
      <c r="C11" s="28" t="s">
        <v>435</v>
      </c>
    </row>
    <row r="12" spans="1:3" ht="15" customHeight="1">
      <c r="A12" s="26" t="s">
        <v>436</v>
      </c>
      <c r="B12" s="27" t="s">
        <v>437</v>
      </c>
      <c r="C12" s="28" t="s">
        <v>438</v>
      </c>
    </row>
    <row r="13" spans="1:3" ht="15" customHeight="1">
      <c r="A13" s="26" t="s">
        <v>439</v>
      </c>
      <c r="B13" s="27" t="s">
        <v>440</v>
      </c>
      <c r="C13" s="28" t="s">
        <v>441</v>
      </c>
    </row>
    <row r="14" spans="1:3" ht="15" customHeight="1">
      <c r="A14" s="26" t="s">
        <v>442</v>
      </c>
      <c r="B14" s="27" t="s">
        <v>443</v>
      </c>
      <c r="C14" s="28" t="s">
        <v>444</v>
      </c>
    </row>
    <row r="15" spans="1:3" ht="15" customHeight="1">
      <c r="A15" s="29" t="s">
        <v>445</v>
      </c>
      <c r="B15" s="30" t="s">
        <v>446</v>
      </c>
      <c r="C15" s="31" t="s">
        <v>447</v>
      </c>
    </row>
    <row r="17" spans="1:3" ht="15" customHeight="1">
      <c r="A17" s="41" t="s">
        <v>448</v>
      </c>
      <c r="B17" s="41"/>
      <c r="C17" s="41"/>
    </row>
    <row r="18" spans="1:3" ht="15" customHeight="1">
      <c r="A18" s="22" t="s">
        <v>416</v>
      </c>
      <c r="B18" s="22" t="s">
        <v>449</v>
      </c>
      <c r="C18" s="22" t="s">
        <v>450</v>
      </c>
    </row>
    <row r="19" spans="1:3" ht="15" customHeight="1">
      <c r="A19" s="23" t="s">
        <v>451</v>
      </c>
      <c r="B19" s="24" t="s">
        <v>452</v>
      </c>
      <c r="C19" s="25" t="s">
        <v>453</v>
      </c>
    </row>
    <row r="20" spans="1:3" ht="15" customHeight="1">
      <c r="A20" s="26" t="s">
        <v>454</v>
      </c>
      <c r="B20" s="27" t="s">
        <v>455</v>
      </c>
      <c r="C20" s="28" t="s">
        <v>456</v>
      </c>
    </row>
    <row r="21" spans="1:3" ht="15" customHeight="1">
      <c r="A21" s="26" t="s">
        <v>116</v>
      </c>
      <c r="B21" s="27" t="s">
        <v>457</v>
      </c>
      <c r="C21" s="28" t="s">
        <v>458</v>
      </c>
    </row>
    <row r="22" spans="1:3" ht="15" customHeight="1">
      <c r="A22" s="26" t="s">
        <v>459</v>
      </c>
      <c r="B22" s="27" t="s">
        <v>460</v>
      </c>
      <c r="C22" s="28" t="s">
        <v>461</v>
      </c>
    </row>
    <row r="23" spans="1:3" ht="15" customHeight="1">
      <c r="A23" s="26" t="s">
        <v>462</v>
      </c>
      <c r="B23" s="27" t="s">
        <v>463</v>
      </c>
      <c r="C23" s="28" t="s">
        <v>464</v>
      </c>
    </row>
    <row r="24" spans="1:3" ht="15" customHeight="1">
      <c r="A24" s="26" t="s">
        <v>465</v>
      </c>
      <c r="B24" s="27" t="s">
        <v>466</v>
      </c>
      <c r="C24" s="28" t="s">
        <v>467</v>
      </c>
    </row>
    <row r="25" spans="1:3" ht="15" customHeight="1">
      <c r="A25" s="26" t="s">
        <v>468</v>
      </c>
      <c r="B25" s="27" t="s">
        <v>469</v>
      </c>
      <c r="C25" s="28" t="s">
        <v>470</v>
      </c>
    </row>
    <row r="26" spans="1:3" ht="15" customHeight="1">
      <c r="A26" s="26" t="s">
        <v>471</v>
      </c>
      <c r="B26" s="27" t="s">
        <v>472</v>
      </c>
      <c r="C26" s="28" t="s">
        <v>473</v>
      </c>
    </row>
    <row r="27" spans="1:3" ht="15" customHeight="1">
      <c r="A27" s="29" t="s">
        <v>474</v>
      </c>
      <c r="B27" s="30" t="s">
        <v>475</v>
      </c>
      <c r="C27" s="31" t="s">
        <v>476</v>
      </c>
    </row>
    <row r="29" spans="1:3" ht="15" customHeight="1">
      <c r="A29" s="41" t="s">
        <v>42</v>
      </c>
      <c r="B29" s="41"/>
      <c r="C29" s="41"/>
    </row>
    <row r="30" spans="1:3" ht="26.45" customHeight="1">
      <c r="A30" s="35" t="s">
        <v>477</v>
      </c>
      <c r="B30" s="24" t="s">
        <v>478</v>
      </c>
      <c r="C30" s="25"/>
    </row>
    <row r="31" spans="1:3" ht="39.6" customHeight="1">
      <c r="A31" s="36" t="s">
        <v>479</v>
      </c>
      <c r="B31" s="30" t="s">
        <v>480</v>
      </c>
      <c r="C31" s="31"/>
    </row>
  </sheetData>
  <mergeCells count="5">
    <mergeCell ref="A1:C1"/>
    <mergeCell ref="A2:C2"/>
    <mergeCell ref="A4:C4"/>
    <mergeCell ref="A17:C17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00_BAT_DAU</vt:lpstr>
      <vt:lpstr>01_Problem_Checklist</vt:lpstr>
      <vt:lpstr>02_Reference_Run</vt:lpstr>
      <vt:lpstr>03_Mutation_Set</vt:lpstr>
      <vt:lpstr>04_Mutation_Execution</vt:lpstr>
      <vt:lpstr>05_Coverage_Report</vt:lpstr>
      <vt:lpstr>06_Findings</vt:lpstr>
      <vt:lpstr>01_Rule_Catalog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2026-09-19T04:33:34Z</dcterms:modified>
</cp:coreProperties>
</file>